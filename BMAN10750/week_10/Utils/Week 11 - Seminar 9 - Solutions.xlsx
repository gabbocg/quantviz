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bocg/Downloads/"/>
    </mc:Choice>
  </mc:AlternateContent>
  <xr:revisionPtr revIDLastSave="0" documentId="13_ncr:1_{B9DF09DD-04CE-2143-BDA6-37FEB69BAD75}" xr6:coauthVersionLast="47" xr6:coauthVersionMax="47" xr10:uidLastSave="{00000000-0000-0000-0000-000000000000}"/>
  <bookViews>
    <workbookView xWindow="0" yWindow="760" windowWidth="33560" windowHeight="19380" activeTab="2" xr2:uid="{BDAD4D52-0CD1-6C4A-9BA8-7F07ADA0242F}"/>
  </bookViews>
  <sheets>
    <sheet name="Ex1" sheetId="1" r:id="rId1"/>
    <sheet name="Ex2" sheetId="2" r:id="rId2"/>
    <sheet name="Ex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8" i="3"/>
  <c r="E8" i="3"/>
  <c r="D12" i="3"/>
  <c r="D10" i="3"/>
  <c r="D8" i="3"/>
  <c r="D7" i="3"/>
  <c r="N10" i="2"/>
  <c r="G10" i="2"/>
  <c r="L5" i="2"/>
  <c r="D9" i="3"/>
  <c r="D11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D15" i="1"/>
  <c r="E6" i="1"/>
  <c r="D7" i="1"/>
  <c r="D6" i="1"/>
  <c r="F5" i="2"/>
  <c r="G5" i="2" s="1"/>
  <c r="E5" i="2"/>
  <c r="D6" i="2" s="1"/>
  <c r="F6" i="2" s="1"/>
  <c r="E5" i="1"/>
  <c r="K6" i="2" l="1"/>
  <c r="M5" i="2"/>
  <c r="N5" i="2" s="1"/>
  <c r="G6" i="2"/>
  <c r="E7" i="1"/>
  <c r="D8" i="1" s="1"/>
  <c r="E6" i="2"/>
  <c r="D7" i="2" s="1"/>
  <c r="F7" i="2" s="1"/>
  <c r="G7" i="2" s="1"/>
  <c r="L6" i="2"/>
  <c r="M7" i="2" l="1"/>
  <c r="N7" i="2" s="1"/>
  <c r="K7" i="2"/>
  <c r="M6" i="2"/>
  <c r="N6" i="2" s="1"/>
  <c r="E8" i="1"/>
  <c r="D9" i="1" s="1"/>
  <c r="L7" i="2"/>
  <c r="E7" i="2"/>
  <c r="D8" i="2" s="1"/>
  <c r="F8" i="2" s="1"/>
  <c r="M8" i="2" l="1"/>
  <c r="N8" i="2" s="1"/>
  <c r="K8" i="2"/>
  <c r="G8" i="2"/>
  <c r="E9" i="1"/>
  <c r="D10" i="1" s="1"/>
  <c r="L8" i="2"/>
  <c r="E8" i="2"/>
  <c r="D9" i="2" s="1"/>
  <c r="F9" i="2" s="1"/>
  <c r="M9" i="2" l="1"/>
  <c r="N9" i="2" s="1"/>
  <c r="K9" i="2"/>
  <c r="G9" i="2"/>
  <c r="F10" i="2"/>
  <c r="E10" i="1"/>
  <c r="D11" i="1" s="1"/>
  <c r="L9" i="2"/>
  <c r="E9" i="2"/>
  <c r="M10" i="2" l="1"/>
  <c r="N11" i="2"/>
  <c r="M11" i="2"/>
  <c r="G11" i="2"/>
  <c r="F11" i="2"/>
  <c r="E11" i="1"/>
  <c r="D12" i="1" s="1"/>
  <c r="D13" i="1" l="1"/>
  <c r="E12" i="1"/>
  <c r="E13" i="1" l="1"/>
  <c r="D14" i="1" s="1"/>
  <c r="E14" i="1" l="1"/>
  <c r="E15" i="1" s="1"/>
</calcChain>
</file>

<file path=xl/sharedStrings.xml><?xml version="1.0" encoding="utf-8"?>
<sst xmlns="http://schemas.openxmlformats.org/spreadsheetml/2006/main" count="33" uniqueCount="19">
  <si>
    <t>Month</t>
  </si>
  <si>
    <t>x_t</t>
  </si>
  <si>
    <t>F_t</t>
  </si>
  <si>
    <t>e_t = x_t - F_t</t>
  </si>
  <si>
    <t>alpha = 0.2</t>
  </si>
  <si>
    <t>alpha = 0.4</t>
  </si>
  <si>
    <t>Absolute Error</t>
  </si>
  <si>
    <t>Total</t>
  </si>
  <si>
    <t>Squared Error</t>
  </si>
  <si>
    <t>t</t>
  </si>
  <si>
    <t>+</t>
  </si>
  <si>
    <t>MA4</t>
  </si>
  <si>
    <t>MA3</t>
  </si>
  <si>
    <t>CMA4</t>
  </si>
  <si>
    <t>t-1</t>
  </si>
  <si>
    <t>t-2</t>
  </si>
  <si>
    <t>t-3</t>
  </si>
  <si>
    <t>t+1</t>
  </si>
  <si>
    <t>t+2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</si>
</sst>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'Ex3'!$B$5:$B$29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'Ex3'!$C$5:$C$29</c:f>
              <c:numCache>
                <c:formatCode>General</c:formatCode>
                <c:ptCount val="25"/>
                <c:pt idx="0">
                  <c:v>22</c:v>
                </c:pt>
                <c:pt idx="1">
                  <c:v>18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21</c:v>
                </c:pt>
                <c:pt idx="6">
                  <c:v>16</c:v>
                </c:pt>
                <c:pt idx="7">
                  <c:v>20</c:v>
                </c:pt>
                <c:pt idx="8">
                  <c:v>25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  <c:pt idx="12">
                  <c:v>27</c:v>
                </c:pt>
                <c:pt idx="13">
                  <c:v>25</c:v>
                </c:pt>
                <c:pt idx="14">
                  <c:v>22</c:v>
                </c:pt>
                <c:pt idx="15">
                  <c:v>24</c:v>
                </c:pt>
                <c:pt idx="16">
                  <c:v>29</c:v>
                </c:pt>
                <c:pt idx="17">
                  <c:v>27</c:v>
                </c:pt>
                <c:pt idx="18">
                  <c:v>21</c:v>
                </c:pt>
                <c:pt idx="19">
                  <c:v>26</c:v>
                </c:pt>
                <c:pt idx="20">
                  <c:v>29</c:v>
                </c:pt>
                <c:pt idx="21">
                  <c:v>27</c:v>
                </c:pt>
                <c:pt idx="22">
                  <c:v>22</c:v>
                </c:pt>
                <c:pt idx="23">
                  <c:v>28</c:v>
                </c:pt>
                <c:pt idx="24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C0-5D43-997F-94F3B46BCBA1}"/>
            </c:ext>
          </c:extLst>
        </c:ser>
        <c:ser>
          <c:idx val="2"/>
          <c:order val="1"/>
          <c:tx>
            <c:v>MA3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'Ex3'!$B$5:$B$29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'Ex3'!$D$5:$D$29</c:f>
              <c:numCache>
                <c:formatCode>General</c:formatCode>
                <c:ptCount val="25"/>
                <c:pt idx="2" formatCode="0.00">
                  <c:v>18.333333333333332</c:v>
                </c:pt>
                <c:pt idx="3" formatCode="0.00">
                  <c:v>17.333333333333332</c:v>
                </c:pt>
                <c:pt idx="4" formatCode="0.00">
                  <c:v>19</c:v>
                </c:pt>
                <c:pt idx="5" formatCode="0.00">
                  <c:v>21</c:v>
                </c:pt>
                <c:pt idx="6" formatCode="0.00">
                  <c:v>20</c:v>
                </c:pt>
                <c:pt idx="7" formatCode="0.00">
                  <c:v>19</c:v>
                </c:pt>
                <c:pt idx="8" formatCode="0.00">
                  <c:v>20.333333333333332</c:v>
                </c:pt>
                <c:pt idx="9" formatCode="0.00">
                  <c:v>22</c:v>
                </c:pt>
                <c:pt idx="10" formatCode="0.00">
                  <c:v>22</c:v>
                </c:pt>
                <c:pt idx="11" formatCode="0.00">
                  <c:v>20.333333333333332</c:v>
                </c:pt>
                <c:pt idx="12" formatCode="0.00">
                  <c:v>22.333333333333332</c:v>
                </c:pt>
                <c:pt idx="13" formatCode="0.00">
                  <c:v>24</c:v>
                </c:pt>
                <c:pt idx="14" formatCode="0.00">
                  <c:v>24.666666666666668</c:v>
                </c:pt>
                <c:pt idx="15" formatCode="0.00">
                  <c:v>23.666666666666668</c:v>
                </c:pt>
                <c:pt idx="16" formatCode="0.00">
                  <c:v>25</c:v>
                </c:pt>
                <c:pt idx="17" formatCode="0.00">
                  <c:v>26.666666666666668</c:v>
                </c:pt>
                <c:pt idx="18" formatCode="0.00">
                  <c:v>25.666666666666668</c:v>
                </c:pt>
                <c:pt idx="19" formatCode="0.00">
                  <c:v>24.666666666666668</c:v>
                </c:pt>
                <c:pt idx="20" formatCode="0.00">
                  <c:v>25.333333333333332</c:v>
                </c:pt>
                <c:pt idx="21" formatCode="0.00">
                  <c:v>27.333333333333332</c:v>
                </c:pt>
                <c:pt idx="22" formatCode="0.00">
                  <c:v>26</c:v>
                </c:pt>
                <c:pt idx="23" formatCode="0.00">
                  <c:v>25.666666666666668</c:v>
                </c:pt>
                <c:pt idx="24" formatCode="0.0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1-E142-8FD7-E15F123B7115}"/>
            </c:ext>
          </c:extLst>
        </c:ser>
        <c:ser>
          <c:idx val="3"/>
          <c:order val="2"/>
          <c:tx>
            <c:v>MA4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'Ex3'!$B$5:$B$29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'Ex3'!$E$5:$E$29</c:f>
              <c:numCache>
                <c:formatCode>General</c:formatCode>
                <c:ptCount val="25"/>
                <c:pt idx="3" formatCode="0.00">
                  <c:v>18.5</c:v>
                </c:pt>
                <c:pt idx="4" formatCode="0.00">
                  <c:v>18.75</c:v>
                </c:pt>
                <c:pt idx="5" formatCode="0.00">
                  <c:v>19.5</c:v>
                </c:pt>
                <c:pt idx="6" formatCode="0.00">
                  <c:v>19.75</c:v>
                </c:pt>
                <c:pt idx="7" formatCode="0.00">
                  <c:v>20</c:v>
                </c:pt>
                <c:pt idx="8" formatCode="0.00">
                  <c:v>20.5</c:v>
                </c:pt>
                <c:pt idx="9" formatCode="0.00">
                  <c:v>20.5</c:v>
                </c:pt>
                <c:pt idx="10" formatCode="0.00">
                  <c:v>21.5</c:v>
                </c:pt>
                <c:pt idx="11" formatCode="0.00">
                  <c:v>21.5</c:v>
                </c:pt>
                <c:pt idx="12" formatCode="0.00">
                  <c:v>22</c:v>
                </c:pt>
                <c:pt idx="13" formatCode="0.00">
                  <c:v>23</c:v>
                </c:pt>
                <c:pt idx="14" formatCode="0.00">
                  <c:v>23.5</c:v>
                </c:pt>
                <c:pt idx="15" formatCode="0.00">
                  <c:v>24.5</c:v>
                </c:pt>
                <c:pt idx="16" formatCode="0.00">
                  <c:v>25</c:v>
                </c:pt>
                <c:pt idx="17" formatCode="0.00">
                  <c:v>25.5</c:v>
                </c:pt>
                <c:pt idx="18" formatCode="0.00">
                  <c:v>25.25</c:v>
                </c:pt>
                <c:pt idx="19" formatCode="0.00">
                  <c:v>25.75</c:v>
                </c:pt>
                <c:pt idx="20" formatCode="0.00">
                  <c:v>25.75</c:v>
                </c:pt>
                <c:pt idx="21" formatCode="0.00">
                  <c:v>25.75</c:v>
                </c:pt>
                <c:pt idx="22" formatCode="0.00">
                  <c:v>26</c:v>
                </c:pt>
                <c:pt idx="23" formatCode="0.00">
                  <c:v>26.5</c:v>
                </c:pt>
                <c:pt idx="24" formatCode="0.0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1-E142-8FD7-E15F123B7115}"/>
            </c:ext>
          </c:extLst>
        </c:ser>
        <c:ser>
          <c:idx val="1"/>
          <c:order val="3"/>
          <c:tx>
            <c:v>CA4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'Ex3'!$B$5:$B$29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'Ex3'!$F$5:$F$29</c:f>
              <c:numCache>
                <c:formatCode>General</c:formatCode>
                <c:ptCount val="25"/>
                <c:pt idx="3" formatCode="0.000">
                  <c:v>18.625</c:v>
                </c:pt>
                <c:pt idx="4" formatCode="0.000">
                  <c:v>19.125</c:v>
                </c:pt>
                <c:pt idx="5" formatCode="0.000">
                  <c:v>19.625</c:v>
                </c:pt>
                <c:pt idx="6" formatCode="0.000">
                  <c:v>19.875</c:v>
                </c:pt>
                <c:pt idx="7" formatCode="0.000">
                  <c:v>20.25</c:v>
                </c:pt>
                <c:pt idx="8" formatCode="0.000">
                  <c:v>20.5</c:v>
                </c:pt>
                <c:pt idx="9" formatCode="0.000">
                  <c:v>21</c:v>
                </c:pt>
                <c:pt idx="10" formatCode="0.000">
                  <c:v>21.5</c:v>
                </c:pt>
                <c:pt idx="11" formatCode="0.000">
                  <c:v>21.75</c:v>
                </c:pt>
                <c:pt idx="12" formatCode="0.000">
                  <c:v>22.5</c:v>
                </c:pt>
                <c:pt idx="13" formatCode="0.000">
                  <c:v>23.25</c:v>
                </c:pt>
                <c:pt idx="14" formatCode="0.000">
                  <c:v>24</c:v>
                </c:pt>
                <c:pt idx="15" formatCode="0.000">
                  <c:v>24.75</c:v>
                </c:pt>
                <c:pt idx="16" formatCode="0.000">
                  <c:v>25.25</c:v>
                </c:pt>
                <c:pt idx="17" formatCode="0.000">
                  <c:v>25.375</c:v>
                </c:pt>
                <c:pt idx="18" formatCode="0.000">
                  <c:v>25.5</c:v>
                </c:pt>
                <c:pt idx="19" formatCode="0.000">
                  <c:v>25.75</c:v>
                </c:pt>
                <c:pt idx="20" formatCode="0.000">
                  <c:v>25.75</c:v>
                </c:pt>
                <c:pt idx="21" formatCode="0.000">
                  <c:v>25.875</c:v>
                </c:pt>
                <c:pt idx="22" formatCode="0.000">
                  <c:v>26.25</c:v>
                </c:pt>
                <c:pt idx="23" formatCode="0.000">
                  <c:v>26.75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EA-C446-9A6E-B84F7F68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681008"/>
        <c:axId val="658926864"/>
      </c:scatterChart>
      <c:valAx>
        <c:axId val="658681008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26864"/>
        <c:crosses val="autoZero"/>
        <c:crossBetween val="midCat"/>
      </c:valAx>
      <c:valAx>
        <c:axId val="658926864"/>
        <c:scaling>
          <c:orientation val="minMax"/>
          <c:max val="34"/>
          <c:min val="1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8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821266</xdr:colOff>
      <xdr:row>14</xdr:row>
      <xdr:rowOff>194734</xdr:rowOff>
    </xdr:from>
    <xdr:to>
      <xdr:col>12</xdr:col>
      <xdr:colOff>821267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794B2-F4FD-C1FC-D74D-5BC4768C4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FBAA-1A76-3647-968B-792C74175B4E}">
  <dimension ref="B2:E15"/>
  <sheetViews>
    <sheetView zoomScale="150" zoomScaleNormal="150" workbookViewId="0"/>
  </sheetViews>
  <sheetFormatPr baseColWidth="10" defaultRowHeight="16" x14ac:dyDescent="0.2"/>
  <cols>
    <col min="1" max="3" width="10.83203125" style="2"/>
    <col min="4" max="4" width="11.6640625" style="2" bestFit="1" customWidth="1"/>
    <col min="5" max="5" width="13.1640625" style="2" bestFit="1" customWidth="1"/>
    <col min="6" max="16384" width="10.83203125" style="2"/>
  </cols>
  <sheetData>
    <row r="2" spans="2:5" x14ac:dyDescent="0.2">
      <c r="B2" s="10" t="s">
        <v>4</v>
      </c>
      <c r="C2" s="10"/>
      <c r="D2" s="10"/>
      <c r="E2" s="10"/>
    </row>
    <row r="3" spans="2:5" ht="17" thickBot="1" x14ac:dyDescent="0.25">
      <c r="B3" s="4" t="s">
        <v>0</v>
      </c>
      <c r="C3" s="4" t="s">
        <v>1</v>
      </c>
      <c r="D3" s="4" t="s">
        <v>2</v>
      </c>
      <c r="E3" s="4" t="s">
        <v>3</v>
      </c>
    </row>
    <row r="4" spans="2:5" x14ac:dyDescent="0.2">
      <c r="B4" s="1">
        <v>1</v>
      </c>
      <c r="C4" s="1">
        <v>23</v>
      </c>
      <c r="D4" s="1"/>
      <c r="E4" s="1"/>
    </row>
    <row r="5" spans="2:5" x14ac:dyDescent="0.2">
      <c r="B5" s="1">
        <v>2</v>
      </c>
      <c r="C5" s="1">
        <v>39</v>
      </c>
      <c r="D5" s="3">
        <v>40</v>
      </c>
      <c r="E5" s="3">
        <f>C5-D5</f>
        <v>-1</v>
      </c>
    </row>
    <row r="6" spans="2:5" x14ac:dyDescent="0.2">
      <c r="B6" s="1">
        <v>3</v>
      </c>
      <c r="C6" s="1">
        <v>36</v>
      </c>
      <c r="D6" s="3">
        <f>D5+0.2*E5</f>
        <v>39.799999999999997</v>
      </c>
      <c r="E6" s="3">
        <f t="shared" ref="E6:E15" si="0">C6-D6</f>
        <v>-3.7999999999999972</v>
      </c>
    </row>
    <row r="7" spans="2:5" x14ac:dyDescent="0.2">
      <c r="B7" s="1">
        <v>4</v>
      </c>
      <c r="C7" s="1">
        <v>26</v>
      </c>
      <c r="D7" s="3">
        <f t="shared" ref="D7:D14" si="1">D6+0.2*E6</f>
        <v>39.04</v>
      </c>
      <c r="E7" s="3">
        <f t="shared" si="0"/>
        <v>-13.04</v>
      </c>
    </row>
    <row r="8" spans="2:5" x14ac:dyDescent="0.2">
      <c r="B8" s="1">
        <v>5</v>
      </c>
      <c r="C8" s="1">
        <v>36</v>
      </c>
      <c r="D8" s="3">
        <f t="shared" si="1"/>
        <v>36.432000000000002</v>
      </c>
      <c r="E8" s="3">
        <f t="shared" si="0"/>
        <v>-0.43200000000000216</v>
      </c>
    </row>
    <row r="9" spans="2:5" x14ac:dyDescent="0.2">
      <c r="B9" s="1">
        <v>6</v>
      </c>
      <c r="C9" s="1">
        <v>12</v>
      </c>
      <c r="D9" s="3">
        <f t="shared" si="1"/>
        <v>36.345600000000005</v>
      </c>
      <c r="E9" s="3">
        <f t="shared" si="0"/>
        <v>-24.345600000000005</v>
      </c>
    </row>
    <row r="10" spans="2:5" x14ac:dyDescent="0.2">
      <c r="B10" s="1">
        <v>7</v>
      </c>
      <c r="C10" s="1">
        <v>26</v>
      </c>
      <c r="D10" s="3">
        <f t="shared" si="1"/>
        <v>31.476480000000002</v>
      </c>
      <c r="E10" s="3">
        <f t="shared" si="0"/>
        <v>-5.4764800000000022</v>
      </c>
    </row>
    <row r="11" spans="2:5" x14ac:dyDescent="0.2">
      <c r="B11" s="1">
        <v>8</v>
      </c>
      <c r="C11" s="1">
        <v>30</v>
      </c>
      <c r="D11" s="3">
        <f t="shared" si="1"/>
        <v>30.381184000000001</v>
      </c>
      <c r="E11" s="3">
        <f t="shared" si="0"/>
        <v>-0.38118400000000108</v>
      </c>
    </row>
    <row r="12" spans="2:5" x14ac:dyDescent="0.2">
      <c r="B12" s="1">
        <v>9</v>
      </c>
      <c r="C12" s="1">
        <v>42</v>
      </c>
      <c r="D12" s="3">
        <f t="shared" si="1"/>
        <v>30.304947200000001</v>
      </c>
      <c r="E12" s="3">
        <f t="shared" si="0"/>
        <v>11.695052799999999</v>
      </c>
    </row>
    <row r="13" spans="2:5" x14ac:dyDescent="0.2">
      <c r="B13" s="1">
        <v>10</v>
      </c>
      <c r="C13" s="1">
        <v>35</v>
      </c>
      <c r="D13" s="3">
        <f t="shared" si="1"/>
        <v>32.643957759999999</v>
      </c>
      <c r="E13" s="3">
        <f t="shared" si="0"/>
        <v>2.3560422400000007</v>
      </c>
    </row>
    <row r="14" spans="2:5" x14ac:dyDescent="0.2">
      <c r="B14" s="1">
        <v>11</v>
      </c>
      <c r="C14" s="1">
        <v>36</v>
      </c>
      <c r="D14" s="3">
        <f t="shared" si="1"/>
        <v>33.115166207999998</v>
      </c>
      <c r="E14" s="3">
        <f t="shared" si="0"/>
        <v>2.884833792000002</v>
      </c>
    </row>
    <row r="15" spans="2:5" x14ac:dyDescent="0.2">
      <c r="B15" s="1">
        <v>12</v>
      </c>
      <c r="C15" s="1">
        <v>28</v>
      </c>
      <c r="D15" s="3">
        <f>D14+0.2*E14</f>
        <v>33.692132966399996</v>
      </c>
      <c r="E15" s="3">
        <f t="shared" si="0"/>
        <v>-5.6921329663999956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11FC-155B-5442-8027-63132A63021E}">
  <dimension ref="A2:N12"/>
  <sheetViews>
    <sheetView zoomScale="150" zoomScaleNormal="150" workbookViewId="0"/>
  </sheetViews>
  <sheetFormatPr baseColWidth="10" defaultRowHeight="16" x14ac:dyDescent="0.2"/>
  <cols>
    <col min="1" max="3" width="10.83203125" style="2"/>
    <col min="4" max="4" width="11.6640625" style="2" bestFit="1" customWidth="1"/>
    <col min="5" max="5" width="13.1640625" style="2" bestFit="1" customWidth="1"/>
    <col min="6" max="6" width="14.1640625" style="2" bestFit="1" customWidth="1"/>
    <col min="7" max="7" width="13.83203125" style="2" bestFit="1" customWidth="1"/>
    <col min="8" max="11" width="10.83203125" style="2"/>
    <col min="12" max="12" width="13.1640625" style="2" bestFit="1" customWidth="1"/>
    <col min="13" max="13" width="14.1640625" style="2" bestFit="1" customWidth="1"/>
    <col min="14" max="14" width="13.83203125" style="2" bestFit="1" customWidth="1"/>
  </cols>
  <sheetData>
    <row r="2" spans="2:14" x14ac:dyDescent="0.2">
      <c r="B2" s="10" t="s">
        <v>4</v>
      </c>
      <c r="C2" s="10"/>
      <c r="D2" s="10"/>
      <c r="E2" s="10"/>
      <c r="F2" s="10"/>
      <c r="G2" s="10"/>
      <c r="I2" s="10" t="s">
        <v>5</v>
      </c>
      <c r="J2" s="10"/>
      <c r="K2" s="10"/>
      <c r="L2" s="10"/>
      <c r="M2" s="10"/>
      <c r="N2" s="10"/>
    </row>
    <row r="3" spans="2:14" ht="17" thickBot="1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6</v>
      </c>
      <c r="G3" s="4" t="s">
        <v>8</v>
      </c>
      <c r="I3" s="4" t="s">
        <v>0</v>
      </c>
      <c r="J3" s="4" t="s">
        <v>1</v>
      </c>
      <c r="K3" s="4" t="s">
        <v>2</v>
      </c>
      <c r="L3" s="4" t="s">
        <v>3</v>
      </c>
      <c r="M3" s="4" t="s">
        <v>6</v>
      </c>
      <c r="N3" s="4" t="s">
        <v>8</v>
      </c>
    </row>
    <row r="4" spans="2:14" x14ac:dyDescent="0.2">
      <c r="B4" s="1">
        <v>1</v>
      </c>
      <c r="C4" s="1">
        <v>45</v>
      </c>
      <c r="D4" s="1"/>
      <c r="E4" s="1"/>
      <c r="F4" s="1"/>
      <c r="G4" s="1"/>
      <c r="I4" s="1">
        <v>1</v>
      </c>
      <c r="J4" s="1">
        <v>45</v>
      </c>
      <c r="K4" s="1"/>
      <c r="L4" s="1"/>
    </row>
    <row r="5" spans="2:14" x14ac:dyDescent="0.2">
      <c r="B5" s="1">
        <v>2</v>
      </c>
      <c r="C5" s="1">
        <v>62</v>
      </c>
      <c r="D5" s="3">
        <v>67</v>
      </c>
      <c r="E5" s="3">
        <f>C5-D5</f>
        <v>-5</v>
      </c>
      <c r="F5" s="3">
        <f>ABS(C5-D5)</f>
        <v>5</v>
      </c>
      <c r="G5" s="3">
        <f>F5^2</f>
        <v>25</v>
      </c>
      <c r="I5" s="1">
        <v>2</v>
      </c>
      <c r="J5" s="1">
        <v>62</v>
      </c>
      <c r="K5" s="3">
        <v>67</v>
      </c>
      <c r="L5" s="3">
        <f>J5-K5</f>
        <v>-5</v>
      </c>
      <c r="M5" s="3">
        <f>ABS(J5-K5)</f>
        <v>5</v>
      </c>
      <c r="N5" s="3">
        <f>M5^2</f>
        <v>25</v>
      </c>
    </row>
    <row r="6" spans="2:14" x14ac:dyDescent="0.2">
      <c r="B6" s="1">
        <v>3</v>
      </c>
      <c r="C6" s="1">
        <v>73</v>
      </c>
      <c r="D6" s="3">
        <f>D5+0.2*E5</f>
        <v>66</v>
      </c>
      <c r="E6" s="3">
        <f t="shared" ref="E6:E9" si="0">C6-D6</f>
        <v>7</v>
      </c>
      <c r="F6" s="3">
        <f t="shared" ref="F6:F9" si="1">ABS(C6-D6)</f>
        <v>7</v>
      </c>
      <c r="G6" s="3">
        <f t="shared" ref="G6:G9" si="2">F6^2</f>
        <v>49</v>
      </c>
      <c r="I6" s="1">
        <v>3</v>
      </c>
      <c r="J6" s="1">
        <v>73</v>
      </c>
      <c r="K6" s="3">
        <f>K5+0.4*L5</f>
        <v>65</v>
      </c>
      <c r="L6" s="3">
        <f t="shared" ref="L6:L9" si="3">J6-K6</f>
        <v>8</v>
      </c>
      <c r="M6" s="3">
        <f>ABS(J6-K6)</f>
        <v>8</v>
      </c>
      <c r="N6" s="3">
        <f t="shared" ref="N6:N9" si="4">M6^2</f>
        <v>64</v>
      </c>
    </row>
    <row r="7" spans="2:14" x14ac:dyDescent="0.2">
      <c r="B7" s="1">
        <v>4</v>
      </c>
      <c r="C7" s="1">
        <v>87</v>
      </c>
      <c r="D7" s="3">
        <f t="shared" ref="D7:D9" si="5">D6+0.2*E6</f>
        <v>67.400000000000006</v>
      </c>
      <c r="E7" s="3">
        <f t="shared" si="0"/>
        <v>19.599999999999994</v>
      </c>
      <c r="F7" s="3">
        <f t="shared" si="1"/>
        <v>19.599999999999994</v>
      </c>
      <c r="G7" s="3">
        <f t="shared" si="2"/>
        <v>384.1599999999998</v>
      </c>
      <c r="I7" s="1">
        <v>4</v>
      </c>
      <c r="J7" s="1">
        <v>87</v>
      </c>
      <c r="K7" s="3">
        <f t="shared" ref="K7:K9" si="6">K6+0.4*L6</f>
        <v>68.2</v>
      </c>
      <c r="L7" s="3">
        <f t="shared" si="3"/>
        <v>18.799999999999997</v>
      </c>
      <c r="M7" s="3">
        <f>ABS(J7-K7)</f>
        <v>18.799999999999997</v>
      </c>
      <c r="N7" s="3">
        <f t="shared" si="4"/>
        <v>353.43999999999988</v>
      </c>
    </row>
    <row r="8" spans="2:14" x14ac:dyDescent="0.2">
      <c r="B8" s="1">
        <v>5</v>
      </c>
      <c r="C8" s="1">
        <v>86</v>
      </c>
      <c r="D8" s="3">
        <f t="shared" si="5"/>
        <v>71.320000000000007</v>
      </c>
      <c r="E8" s="3">
        <f t="shared" si="0"/>
        <v>14.679999999999993</v>
      </c>
      <c r="F8" s="3">
        <f t="shared" si="1"/>
        <v>14.679999999999993</v>
      </c>
      <c r="G8" s="3">
        <f t="shared" si="2"/>
        <v>215.5023999999998</v>
      </c>
      <c r="I8" s="1">
        <v>5</v>
      </c>
      <c r="J8" s="1">
        <v>86</v>
      </c>
      <c r="K8" s="3">
        <f t="shared" si="6"/>
        <v>75.72</v>
      </c>
      <c r="L8" s="3">
        <f t="shared" si="3"/>
        <v>10.280000000000001</v>
      </c>
      <c r="M8" s="3">
        <f t="shared" ref="M8:M9" si="7">ABS(J8-K8)</f>
        <v>10.280000000000001</v>
      </c>
      <c r="N8" s="3">
        <f>M8^2</f>
        <v>105.67840000000002</v>
      </c>
    </row>
    <row r="9" spans="2:14" ht="17" thickBot="1" x14ac:dyDescent="0.25">
      <c r="B9" s="5">
        <v>6</v>
      </c>
      <c r="C9" s="5">
        <v>95</v>
      </c>
      <c r="D9" s="6">
        <f t="shared" si="5"/>
        <v>74.256</v>
      </c>
      <c r="E9" s="6">
        <f t="shared" si="0"/>
        <v>20.744</v>
      </c>
      <c r="F9" s="6">
        <f t="shared" si="1"/>
        <v>20.744</v>
      </c>
      <c r="G9" s="6">
        <f t="shared" si="2"/>
        <v>430.313536</v>
      </c>
      <c r="I9" s="5">
        <v>6</v>
      </c>
      <c r="J9" s="5">
        <v>95</v>
      </c>
      <c r="K9" s="6">
        <f t="shared" si="6"/>
        <v>79.831999999999994</v>
      </c>
      <c r="L9" s="6">
        <f t="shared" si="3"/>
        <v>15.168000000000006</v>
      </c>
      <c r="M9" s="6">
        <f t="shared" si="7"/>
        <v>15.168000000000006</v>
      </c>
      <c r="N9" s="6">
        <f t="shared" si="4"/>
        <v>230.06822400000019</v>
      </c>
    </row>
    <row r="10" spans="2:14" x14ac:dyDescent="0.2">
      <c r="B10" s="7" t="s">
        <v>7</v>
      </c>
      <c r="C10" s="7"/>
      <c r="D10" s="8"/>
      <c r="E10" s="8"/>
      <c r="F10" s="8">
        <f>SUM(F5:F9)</f>
        <v>67.023999999999987</v>
      </c>
      <c r="G10" s="8">
        <f>SUM(G5:G9)</f>
        <v>1103.9759359999996</v>
      </c>
      <c r="I10" s="7" t="s">
        <v>7</v>
      </c>
      <c r="J10" s="1"/>
      <c r="K10" s="3"/>
      <c r="L10" s="3"/>
      <c r="M10" s="8">
        <f>SUM(M5:M9)</f>
        <v>57.248000000000005</v>
      </c>
      <c r="N10" s="8">
        <f>SUM(N5:N9)</f>
        <v>778.18662400000017</v>
      </c>
    </row>
    <row r="11" spans="2:14" x14ac:dyDescent="0.2">
      <c r="B11" s="1"/>
      <c r="C11" s="1"/>
      <c r="D11" s="3"/>
      <c r="E11" s="3"/>
      <c r="F11" s="3">
        <f>F10/5</f>
        <v>13.404799999999998</v>
      </c>
      <c r="G11" s="3">
        <f>G10/5</f>
        <v>220.79518719999993</v>
      </c>
      <c r="I11" s="1"/>
      <c r="J11" s="1"/>
      <c r="K11" s="3"/>
      <c r="L11" s="3"/>
      <c r="M11" s="3">
        <f>M10/5</f>
        <v>11.4496</v>
      </c>
      <c r="N11" s="3">
        <f>N10/5</f>
        <v>155.63732480000004</v>
      </c>
    </row>
    <row r="12" spans="2:14" x14ac:dyDescent="0.2">
      <c r="B12" s="1"/>
      <c r="C12" s="1"/>
      <c r="D12" s="3"/>
      <c r="E12" s="3"/>
      <c r="F12" s="3"/>
      <c r="G12" s="3"/>
      <c r="I12" s="1"/>
      <c r="J12" s="1"/>
      <c r="K12" s="3"/>
      <c r="L12" s="3"/>
    </row>
  </sheetData>
  <mergeCells count="2">
    <mergeCell ref="I2:N2"/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A200-D6E0-624C-A48B-B82BCD4846F3}">
  <dimension ref="A4:L29"/>
  <sheetViews>
    <sheetView tabSelected="1" topLeftCell="A3" zoomScale="150" zoomScaleNormal="150" workbookViewId="0">
      <selection activeCell="F8" sqref="F8"/>
    </sheetView>
  </sheetViews>
  <sheetFormatPr baseColWidth="10" defaultRowHeight="16" x14ac:dyDescent="0.2"/>
  <cols>
    <col min="1" max="3" width="10.83203125" style="2"/>
    <col min="4" max="4" width="12.1640625" style="2" customWidth="1"/>
    <col min="5" max="5" width="12.1640625" style="2" bestFit="1" customWidth="1"/>
    <col min="6" max="6" width="12.1640625" style="2" customWidth="1"/>
    <col min="8" max="16384" width="10.83203125" style="2"/>
  </cols>
  <sheetData>
    <row r="4" spans="1:6" ht="17" thickBot="1" x14ac:dyDescent="0.25">
      <c r="B4" s="4" t="s">
        <v>9</v>
      </c>
      <c r="C4" s="4" t="s">
        <v>1</v>
      </c>
      <c r="D4" s="4" t="s">
        <v>12</v>
      </c>
      <c r="E4" s="4" t="s">
        <v>11</v>
      </c>
      <c r="F4" s="4" t="s">
        <v>13</v>
      </c>
    </row>
    <row r="5" spans="1:6" x14ac:dyDescent="0.2">
      <c r="A5" s="2" t="s">
        <v>16</v>
      </c>
      <c r="B5" s="1">
        <v>1</v>
      </c>
      <c r="C5" s="1">
        <v>22</v>
      </c>
    </row>
    <row r="6" spans="1:6" x14ac:dyDescent="0.2">
      <c r="A6" s="2" t="s">
        <v>15</v>
      </c>
      <c r="B6" s="1">
        <v>2</v>
      </c>
      <c r="C6" s="1">
        <v>18</v>
      </c>
    </row>
    <row r="7" spans="1:6" x14ac:dyDescent="0.2">
      <c r="A7" s="2" t="s">
        <v>14</v>
      </c>
      <c r="B7" s="1">
        <v>3</v>
      </c>
      <c r="C7" s="1">
        <v>15</v>
      </c>
      <c r="D7" s="3">
        <f>AVERAGE(C5:C7)</f>
        <v>18.333333333333332</v>
      </c>
    </row>
    <row r="8" spans="1:6" x14ac:dyDescent="0.2">
      <c r="A8" s="2" t="s">
        <v>9</v>
      </c>
      <c r="B8" s="1">
        <v>4</v>
      </c>
      <c r="C8" s="1">
        <v>19</v>
      </c>
      <c r="D8" s="3">
        <f>AVERAGE(C6:C8)</f>
        <v>17.333333333333332</v>
      </c>
      <c r="E8" s="3">
        <f>AVERAGE(C5:C8)</f>
        <v>18.5</v>
      </c>
      <c r="F8" s="9">
        <f>SUM(E8:E9)/2</f>
        <v>18.625</v>
      </c>
    </row>
    <row r="9" spans="1:6" x14ac:dyDescent="0.2">
      <c r="A9" s="2" t="s">
        <v>17</v>
      </c>
      <c r="B9" s="1">
        <v>5</v>
      </c>
      <c r="C9" s="1">
        <v>23</v>
      </c>
      <c r="D9" s="3">
        <f t="shared" ref="D7:D29" si="0">AVERAGE(C7:C9)</f>
        <v>19</v>
      </c>
      <c r="E9" s="3">
        <f t="shared" ref="E9:E29" si="1">AVERAGE(C6:C9)</f>
        <v>18.75</v>
      </c>
      <c r="F9" s="9">
        <f>SUM(E9:E10)/2</f>
        <v>19.125</v>
      </c>
    </row>
    <row r="10" spans="1:6" x14ac:dyDescent="0.2">
      <c r="A10" s="2" t="s">
        <v>18</v>
      </c>
      <c r="B10" s="1">
        <v>6</v>
      </c>
      <c r="C10" s="1">
        <v>21</v>
      </c>
      <c r="D10" s="3">
        <f>AVERAGE(C8:C10)</f>
        <v>21</v>
      </c>
      <c r="E10" s="3">
        <f t="shared" si="1"/>
        <v>19.5</v>
      </c>
      <c r="F10" s="9">
        <f>SUM(E10:E11)/2</f>
        <v>19.625</v>
      </c>
    </row>
    <row r="11" spans="1:6" x14ac:dyDescent="0.2">
      <c r="B11" s="1">
        <v>7</v>
      </c>
      <c r="C11" s="1">
        <v>16</v>
      </c>
      <c r="D11" s="3">
        <f t="shared" si="0"/>
        <v>20</v>
      </c>
      <c r="E11" s="3">
        <f t="shared" si="1"/>
        <v>19.75</v>
      </c>
      <c r="F11" s="9">
        <f>SUM(E11:E12)/2</f>
        <v>19.875</v>
      </c>
    </row>
    <row r="12" spans="1:6" x14ac:dyDescent="0.2">
      <c r="B12" s="1">
        <v>8</v>
      </c>
      <c r="C12" s="1">
        <v>20</v>
      </c>
      <c r="D12" s="3">
        <f>AVERAGE(C10:C12)</f>
        <v>19</v>
      </c>
      <c r="E12" s="3">
        <f t="shared" si="1"/>
        <v>20</v>
      </c>
      <c r="F12" s="9">
        <f>SUM(E12:E13)/2</f>
        <v>20.25</v>
      </c>
    </row>
    <row r="13" spans="1:6" x14ac:dyDescent="0.2">
      <c r="B13" s="1">
        <v>9</v>
      </c>
      <c r="C13" s="1">
        <v>25</v>
      </c>
      <c r="D13" s="3">
        <f t="shared" si="0"/>
        <v>20.333333333333332</v>
      </c>
      <c r="E13" s="3">
        <f t="shared" si="1"/>
        <v>20.5</v>
      </c>
      <c r="F13" s="9">
        <f>SUM(E13:E14)/2</f>
        <v>20.5</v>
      </c>
    </row>
    <row r="14" spans="1:6" x14ac:dyDescent="0.2">
      <c r="B14" s="1">
        <v>10</v>
      </c>
      <c r="C14" s="1">
        <v>21</v>
      </c>
      <c r="D14" s="3">
        <f t="shared" si="0"/>
        <v>22</v>
      </c>
      <c r="E14" s="3">
        <f t="shared" si="1"/>
        <v>20.5</v>
      </c>
      <c r="F14" s="9">
        <f>SUM(E14:E15)/2</f>
        <v>21</v>
      </c>
    </row>
    <row r="15" spans="1:6" x14ac:dyDescent="0.2">
      <c r="B15" s="1">
        <v>11</v>
      </c>
      <c r="C15" s="1">
        <v>20</v>
      </c>
      <c r="D15" s="3">
        <f t="shared" si="0"/>
        <v>22</v>
      </c>
      <c r="E15" s="3">
        <f t="shared" si="1"/>
        <v>21.5</v>
      </c>
      <c r="F15" s="9">
        <f>SUM(E15:E16)/2</f>
        <v>21.5</v>
      </c>
    </row>
    <row r="16" spans="1:6" x14ac:dyDescent="0.2">
      <c r="B16" s="1">
        <v>12</v>
      </c>
      <c r="C16" s="1">
        <v>20</v>
      </c>
      <c r="D16" s="3">
        <f t="shared" si="0"/>
        <v>20.333333333333332</v>
      </c>
      <c r="E16" s="3">
        <f t="shared" si="1"/>
        <v>21.5</v>
      </c>
      <c r="F16" s="9">
        <f>SUM(E16:E17)/2</f>
        <v>21.75</v>
      </c>
    </row>
    <row r="17" spans="2:12" x14ac:dyDescent="0.2">
      <c r="B17" s="1">
        <v>13</v>
      </c>
      <c r="C17" s="1">
        <v>27</v>
      </c>
      <c r="D17" s="3">
        <f t="shared" si="0"/>
        <v>22.333333333333332</v>
      </c>
      <c r="E17" s="3">
        <f t="shared" si="1"/>
        <v>22</v>
      </c>
      <c r="F17" s="9">
        <f>SUM(E17:E18)/2</f>
        <v>22.5</v>
      </c>
    </row>
    <row r="18" spans="2:12" x14ac:dyDescent="0.2">
      <c r="B18" s="1">
        <v>14</v>
      </c>
      <c r="C18" s="1">
        <v>25</v>
      </c>
      <c r="D18" s="3">
        <f t="shared" si="0"/>
        <v>24</v>
      </c>
      <c r="E18" s="3">
        <f t="shared" si="1"/>
        <v>23</v>
      </c>
      <c r="F18" s="9">
        <f>SUM(E18:E19)/2</f>
        <v>23.25</v>
      </c>
    </row>
    <row r="19" spans="2:12" x14ac:dyDescent="0.2">
      <c r="B19" s="1">
        <v>15</v>
      </c>
      <c r="C19" s="1">
        <v>22</v>
      </c>
      <c r="D19" s="3">
        <f t="shared" si="0"/>
        <v>24.666666666666668</v>
      </c>
      <c r="E19" s="3">
        <f t="shared" si="1"/>
        <v>23.5</v>
      </c>
      <c r="F19" s="9">
        <f>SUM(E19:E20)/2</f>
        <v>24</v>
      </c>
    </row>
    <row r="20" spans="2:12" x14ac:dyDescent="0.2">
      <c r="B20" s="1">
        <v>16</v>
      </c>
      <c r="C20" s="1">
        <v>24</v>
      </c>
      <c r="D20" s="3">
        <f t="shared" si="0"/>
        <v>23.666666666666668</v>
      </c>
      <c r="E20" s="3">
        <f t="shared" si="1"/>
        <v>24.5</v>
      </c>
      <c r="F20" s="9">
        <f>SUM(E20:E21)/2</f>
        <v>24.75</v>
      </c>
    </row>
    <row r="21" spans="2:12" x14ac:dyDescent="0.2">
      <c r="B21" s="1">
        <v>17</v>
      </c>
      <c r="C21" s="1">
        <v>29</v>
      </c>
      <c r="D21" s="3">
        <f t="shared" si="0"/>
        <v>25</v>
      </c>
      <c r="E21" s="3">
        <f t="shared" si="1"/>
        <v>25</v>
      </c>
      <c r="F21" s="9">
        <f>SUM(E21:E22)/2</f>
        <v>25.25</v>
      </c>
    </row>
    <row r="22" spans="2:12" x14ac:dyDescent="0.2">
      <c r="B22" s="1">
        <v>18</v>
      </c>
      <c r="C22" s="1">
        <v>27</v>
      </c>
      <c r="D22" s="3">
        <f t="shared" si="0"/>
        <v>26.666666666666668</v>
      </c>
      <c r="E22" s="3">
        <f t="shared" si="1"/>
        <v>25.5</v>
      </c>
      <c r="F22" s="9">
        <f>SUM(E22:E23)/2</f>
        <v>25.375</v>
      </c>
      <c r="L22" s="2" t="s">
        <v>10</v>
      </c>
    </row>
    <row r="23" spans="2:12" x14ac:dyDescent="0.2">
      <c r="B23" s="1">
        <v>19</v>
      </c>
      <c r="C23" s="1">
        <v>21</v>
      </c>
      <c r="D23" s="3">
        <f t="shared" si="0"/>
        <v>25.666666666666668</v>
      </c>
      <c r="E23" s="3">
        <f t="shared" si="1"/>
        <v>25.25</v>
      </c>
      <c r="F23" s="9">
        <f>SUM(E23:E24)/2</f>
        <v>25.5</v>
      </c>
    </row>
    <row r="24" spans="2:12" x14ac:dyDescent="0.2">
      <c r="B24" s="1">
        <v>20</v>
      </c>
      <c r="C24" s="1">
        <v>26</v>
      </c>
      <c r="D24" s="3">
        <f t="shared" si="0"/>
        <v>24.666666666666668</v>
      </c>
      <c r="E24" s="3">
        <f t="shared" si="1"/>
        <v>25.75</v>
      </c>
      <c r="F24" s="9">
        <f>SUM(E24:E25)/2</f>
        <v>25.75</v>
      </c>
    </row>
    <row r="25" spans="2:12" x14ac:dyDescent="0.2">
      <c r="B25" s="1">
        <v>21</v>
      </c>
      <c r="C25" s="1">
        <v>29</v>
      </c>
      <c r="D25" s="3">
        <f t="shared" si="0"/>
        <v>25.333333333333332</v>
      </c>
      <c r="E25" s="3">
        <f t="shared" si="1"/>
        <v>25.75</v>
      </c>
      <c r="F25" s="9">
        <f>SUM(E25:E26)/2</f>
        <v>25.75</v>
      </c>
    </row>
    <row r="26" spans="2:12" x14ac:dyDescent="0.2">
      <c r="B26" s="1">
        <v>22</v>
      </c>
      <c r="C26" s="1">
        <v>27</v>
      </c>
      <c r="D26" s="3">
        <f t="shared" si="0"/>
        <v>27.333333333333332</v>
      </c>
      <c r="E26" s="3">
        <f t="shared" si="1"/>
        <v>25.75</v>
      </c>
      <c r="F26" s="9">
        <f>SUM(E26:E27)/2</f>
        <v>25.875</v>
      </c>
    </row>
    <row r="27" spans="2:12" x14ac:dyDescent="0.2">
      <c r="B27" s="1">
        <v>23</v>
      </c>
      <c r="C27" s="1">
        <v>22</v>
      </c>
      <c r="D27" s="3">
        <f t="shared" si="0"/>
        <v>26</v>
      </c>
      <c r="E27" s="3">
        <f t="shared" si="1"/>
        <v>26</v>
      </c>
      <c r="F27" s="9">
        <f>SUM(E27:E28)/2</f>
        <v>26.25</v>
      </c>
    </row>
    <row r="28" spans="2:12" x14ac:dyDescent="0.2">
      <c r="B28" s="1">
        <v>24</v>
      </c>
      <c r="C28" s="1">
        <v>28</v>
      </c>
      <c r="D28" s="3">
        <f t="shared" si="0"/>
        <v>25.666666666666668</v>
      </c>
      <c r="E28" s="3">
        <f t="shared" si="1"/>
        <v>26.5</v>
      </c>
      <c r="F28" s="9">
        <f>SUM(E28:E29)/2</f>
        <v>26.75</v>
      </c>
    </row>
    <row r="29" spans="2:12" x14ac:dyDescent="0.2">
      <c r="B29" s="1">
        <v>25</v>
      </c>
      <c r="C29" s="1">
        <v>31</v>
      </c>
      <c r="D29" s="3">
        <f t="shared" si="0"/>
        <v>27</v>
      </c>
      <c r="E29" s="3">
        <f t="shared" si="1"/>
        <v>27</v>
      </c>
    </row>
  </sheetData>
  <pageMargins left="0.7" right="0.7" top="0.75" bottom="0.75" header="0.3" footer="0.3"/>
  <ignoredErrors>
    <ignoredError sqref="E9:E2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Sumair Hussain</dc:creator>
  <cp:lastModifiedBy>Gabriel Cabrera Guzman</cp:lastModifiedBy>
  <dcterms:created xsi:type="dcterms:W3CDTF">2025-12-07T18:50:32Z</dcterms:created>
  <dcterms:modified xsi:type="dcterms:W3CDTF">2025-12-11T21:50:39Z</dcterms:modified>
</cp:coreProperties>
</file>