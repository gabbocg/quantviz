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OneDrive-AMBS/AMBS/AMBS Teaching/BMAN 10750 - Quantitative Methods for A&amp;F  - Sem 1/1-Teaching Materials/WEEK 3/"/>
    </mc:Choice>
  </mc:AlternateContent>
  <xr:revisionPtr revIDLastSave="0" documentId="13_ncr:1_{3CCC017A-2F81-9445-A267-D7694CCBB874}" xr6:coauthVersionLast="47" xr6:coauthVersionMax="47" xr10:uidLastSave="{00000000-0000-0000-0000-000000000000}"/>
  <bookViews>
    <workbookView xWindow="140" yWindow="640" windowWidth="34160" windowHeight="27980" activeTab="2" xr2:uid="{00000000-000D-0000-FFFF-FFFF00000000}"/>
  </bookViews>
  <sheets>
    <sheet name="Ex1" sheetId="2" r:id="rId1"/>
    <sheet name="Ex4" sheetId="3" r:id="rId2"/>
    <sheet name="EX5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2" i="3"/>
  <c r="B13" i="3"/>
  <c r="B7" i="2"/>
  <c r="C14" i="2"/>
  <c r="D15" i="2"/>
  <c r="E15" i="2" s="1"/>
  <c r="D16" i="2"/>
  <c r="E16" i="2" s="1"/>
  <c r="D17" i="2"/>
  <c r="E17" i="2" s="1"/>
  <c r="D18" i="2"/>
  <c r="E18" i="2" s="1"/>
  <c r="D14" i="2"/>
  <c r="E14" i="2" s="1"/>
  <c r="B19" i="2"/>
  <c r="C18" i="2"/>
  <c r="C17" i="2"/>
  <c r="C16" i="2"/>
  <c r="C15" i="2"/>
  <c r="C19" i="2" l="1"/>
  <c r="C20" i="2" s="1"/>
  <c r="D19" i="2"/>
  <c r="E19" i="2"/>
  <c r="E21" i="2" s="1"/>
  <c r="E22" i="2" s="1"/>
  <c r="C3" i="2"/>
  <c r="C4" i="2"/>
  <c r="C5" i="2"/>
  <c r="C6" i="2"/>
  <c r="C2" i="2"/>
  <c r="C7" i="2" s="1"/>
  <c r="C8" i="2" s="1"/>
  <c r="D6" i="2" l="1"/>
  <c r="E6" i="2" s="1"/>
  <c r="D3" i="2"/>
  <c r="E3" i="2" s="1"/>
  <c r="D4" i="2"/>
  <c r="E4" i="2" s="1"/>
  <c r="D2" i="2"/>
  <c r="D5" i="2"/>
  <c r="E5" i="2" s="1"/>
  <c r="E2" i="2" l="1"/>
  <c r="E7" i="2" s="1"/>
  <c r="E9" i="2" s="1"/>
  <c r="E10" i="2" s="1"/>
  <c r="D7" i="2"/>
</calcChain>
</file>

<file path=xl/sharedStrings.xml><?xml version="1.0" encoding="utf-8"?>
<sst xmlns="http://schemas.openxmlformats.org/spreadsheetml/2006/main" count="61" uniqueCount="39">
  <si>
    <t>HIFLI</t>
  </si>
  <si>
    <t>ICARUS</t>
  </si>
  <si>
    <t>AIRPORT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</si>
  <si>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</si>
  <si>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</si>
  <si>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</si>
  <si>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</si>
  <si>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</si>
  <si>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</si>
  <si>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</si>
  <si>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</si>
  <si>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</si>
  <si>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</si>
  <si>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</si>
  <si>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</si>
  <si>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</si>
  <si>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Bin</t>
  </si>
  <si>
    <t>Frequency</t>
  </si>
  <si>
    <t>&lt;=50</t>
  </si>
  <si>
    <t>&lt;=60</t>
  </si>
  <si>
    <t>&lt;=70</t>
  </si>
  <si>
    <t>&lt;=80</t>
  </si>
  <si>
    <t>&lt;=90</t>
  </si>
  <si>
    <t>&lt;=100</t>
  </si>
  <si>
    <t>&gt;100</t>
  </si>
  <si>
    <t>F (Frequencies)</t>
  </si>
  <si>
    <t>X x F</t>
  </si>
  <si>
    <t>Variance</t>
  </si>
  <si>
    <t>SD</t>
  </si>
  <si>
    <t>Deviations^2 x F</t>
  </si>
  <si>
    <t>Delivery time</t>
  </si>
  <si>
    <t>Deviations^2 x f</t>
  </si>
  <si>
    <t>X x f</t>
  </si>
  <si>
    <t>X ^2</t>
  </si>
  <si>
    <t>X (Number of Cars per Household)</t>
  </si>
  <si>
    <t>Deviations^2</t>
  </si>
  <si>
    <t>Simpler Method</t>
  </si>
  <si>
    <t>f (Relative Frequencies)</t>
  </si>
  <si>
    <r>
      <t xml:space="preserve">Note that here we use the </t>
    </r>
    <r>
      <rPr>
        <b/>
        <i/>
        <sz val="12"/>
        <color theme="1"/>
        <rFont val="Times New Roman"/>
        <family val="1"/>
      </rPr>
      <t>population variance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</si>
</sst>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0.0000"/>
    <numFmt numFmtId="170" formatCode="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/>
    <xf numFmtId="169" fontId="2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0" fontId="2" fillId="2" borderId="0" xfId="0" applyNumberFormat="1" applyFont="1" applyFill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0" xfId="0" applyFont="1"/>
    <xf numFmtId="0" fontId="2" fillId="0" borderId="1" xfId="0" applyFont="1" applyBorder="1"/>
    <xf numFmtId="0" fontId="4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51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800" b="1" i="0" u="none" strike="noStrike" baseline="0">
                <a:effectLst/>
              </a:rPr>
              <a:t>HI-FLI Punctual Flights</a:t>
            </a:r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'EX5'!$E$20:$E$26</c:f>
              <c:strCache>
                <c:ptCount val="7"/>
                <c:pt idx="0">
                  <c:v>&lt;=50</c:v>
                </c:pt>
                <c:pt idx="1">
                  <c:v>&lt;=60</c:v>
                </c:pt>
                <c:pt idx="2">
                  <c:v>&lt;=70</c:v>
                </c:pt>
                <c:pt idx="3">
                  <c:v>&lt;=80</c:v>
                </c:pt>
                <c:pt idx="4">
                  <c:v>&lt;=90</c:v>
                </c:pt>
                <c:pt idx="5">
                  <c:v>&lt;=100</c:v>
                </c:pt>
                <c:pt idx="6">
                  <c:v>&gt;100</c:v>
                </c:pt>
              </c:strCache>
            </c:strRef>
          </c:cat>
          <c:val>
            <c:numRef>
              <c:f>'EX5'!$F$20:$F$26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3-4225-AB5D-87800DD5E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9012608"/>
        <c:axId val="41693952"/>
      </c:barChart>
      <c:catAx>
        <c:axId val="39012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500" b="0"/>
                  <a:t>Percentage of Punctual flights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41693952"/>
        <c:crosses val="autoZero"/>
        <c:auto val="1"/>
        <c:lblAlgn val="ctr"/>
        <c:lblOffset val="100"/>
        <c:noMultiLvlLbl val="0"/>
      </c:catAx>
      <c:valAx>
        <c:axId val="41693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400" b="0"/>
                  <a:t>Frequency</a:t>
                </a:r>
              </a:p>
            </c:rich>
          </c:tx>
          <c:layout>
            <c:manualLayout>
              <c:xMode val="edge"/>
              <c:yMode val="edge"/>
              <c:x val="1.2139605462822459E-2"/>
              <c:y val="0.313923475828497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901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ICARUS Punctual</a:t>
            </a:r>
            <a:r>
              <a:rPr lang="en-GB" baseline="0"/>
              <a:t> Flights</a:t>
            </a:r>
            <a:endParaRPr lang="en-GB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411110003654601E-2"/>
          <c:y val="0.18309905706231167"/>
          <c:w val="0.87738213894149308"/>
          <c:h val="0.65259686405370332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'EX5'!$E$34:$E$40</c:f>
              <c:strCache>
                <c:ptCount val="7"/>
                <c:pt idx="0">
                  <c:v>&lt;=50</c:v>
                </c:pt>
                <c:pt idx="1">
                  <c:v>&lt;=60</c:v>
                </c:pt>
                <c:pt idx="2">
                  <c:v>&lt;=70</c:v>
                </c:pt>
                <c:pt idx="3">
                  <c:v>&lt;=80</c:v>
                </c:pt>
                <c:pt idx="4">
                  <c:v>&lt;=90</c:v>
                </c:pt>
                <c:pt idx="5">
                  <c:v>&lt;=100</c:v>
                </c:pt>
                <c:pt idx="6">
                  <c:v>&gt;100</c:v>
                </c:pt>
              </c:strCache>
            </c:strRef>
          </c:cat>
          <c:val>
            <c:numRef>
              <c:f>'EX5'!$F$34:$F$40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8-426B-BEEF-83DD78389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0304896"/>
        <c:axId val="90306432"/>
      </c:barChart>
      <c:catAx>
        <c:axId val="90304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1800" b="0" i="0" baseline="0">
                    <a:effectLst/>
                  </a:rPr>
                  <a:t>Percentage of Punctual flights</a:t>
                </a:r>
                <a:endParaRPr lang="en-GB" b="0">
                  <a:effectLst/>
                </a:endParaRP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90306432"/>
        <c:crosses val="autoZero"/>
        <c:auto val="1"/>
        <c:lblAlgn val="ctr"/>
        <c:lblOffset val="100"/>
        <c:noMultiLvlLbl val="0"/>
      </c:catAx>
      <c:valAx>
        <c:axId val="90306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1400" b="0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304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2</xdr:row>
      <xdr:rowOff>19050</xdr:rowOff>
    </xdr:from>
    <xdr:to>
      <xdr:col>20</xdr:col>
      <xdr:colOff>38100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18</xdr:row>
      <xdr:rowOff>76199</xdr:rowOff>
    </xdr:from>
    <xdr:to>
      <xdr:col>20</xdr:col>
      <xdr:colOff>19050</xdr:colOff>
      <xdr:row>33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200" zoomScaleNormal="200" workbookViewId="0"/>
  </sheetViews>
  <sheetFormatPr baseColWidth="10" defaultColWidth="8.83203125" defaultRowHeight="16" x14ac:dyDescent="0.2"/>
  <cols>
    <col min="1" max="1" width="32.1640625" style="2" bestFit="1" customWidth="1"/>
    <col min="2" max="2" width="21.5" style="2" bestFit="1" customWidth="1"/>
    <col min="3" max="3" width="5.83203125" style="2" bestFit="1" customWidth="1"/>
    <col min="4" max="4" width="12.33203125" style="2" bestFit="1" customWidth="1"/>
    <col min="5" max="5" width="15.5" style="2" bestFit="1" customWidth="1"/>
    <col min="6" max="6" width="39.33203125" style="2" bestFit="1" customWidth="1"/>
    <col min="7" max="16384" width="8.83203125" style="2"/>
  </cols>
  <sheetData>
    <row r="1" spans="1:5" x14ac:dyDescent="0.2">
      <c r="A1" s="1" t="s">
        <v>34</v>
      </c>
      <c r="B1" s="1" t="s">
        <v>25</v>
      </c>
      <c r="C1" s="1" t="s">
        <v>26</v>
      </c>
      <c r="D1" s="1" t="s">
        <v>35</v>
      </c>
      <c r="E1" s="1" t="s">
        <v>29</v>
      </c>
    </row>
    <row r="2" spans="1:5" x14ac:dyDescent="0.2">
      <c r="A2" s="3">
        <v>0</v>
      </c>
      <c r="B2" s="3">
        <v>300</v>
      </c>
      <c r="C2" s="3">
        <f>A2*B2</f>
        <v>0</v>
      </c>
      <c r="D2" s="3">
        <f>(A2-$C$8)^2</f>
        <v>1.2544000000000002</v>
      </c>
      <c r="E2" s="3">
        <f>D2*B2</f>
        <v>376.32000000000005</v>
      </c>
    </row>
    <row r="3" spans="1:5" x14ac:dyDescent="0.2">
      <c r="A3" s="3">
        <v>1</v>
      </c>
      <c r="B3" s="3">
        <v>420</v>
      </c>
      <c r="C3" s="3">
        <f t="shared" ref="C3:C6" si="0">A3*B3</f>
        <v>420</v>
      </c>
      <c r="D3" s="3">
        <f t="shared" ref="D3:D5" si="1">(A3-$C$8)^2</f>
        <v>1.4400000000000026E-2</v>
      </c>
      <c r="E3" s="3">
        <f t="shared" ref="E3:E6" si="2">D3*B3</f>
        <v>6.0480000000000107</v>
      </c>
    </row>
    <row r="4" spans="1:5" x14ac:dyDescent="0.2">
      <c r="A4" s="3">
        <v>2</v>
      </c>
      <c r="B4" s="3">
        <v>180</v>
      </c>
      <c r="C4" s="3">
        <f t="shared" si="0"/>
        <v>360</v>
      </c>
      <c r="D4" s="3">
        <f t="shared" si="1"/>
        <v>0.77439999999999987</v>
      </c>
      <c r="E4" s="3">
        <f t="shared" si="2"/>
        <v>139.39199999999997</v>
      </c>
    </row>
    <row r="5" spans="1:5" x14ac:dyDescent="0.2">
      <c r="A5" s="3">
        <v>3</v>
      </c>
      <c r="B5" s="3">
        <v>60</v>
      </c>
      <c r="C5" s="3">
        <f t="shared" si="0"/>
        <v>180</v>
      </c>
      <c r="D5" s="3">
        <f t="shared" si="1"/>
        <v>3.5343999999999998</v>
      </c>
      <c r="E5" s="3">
        <f t="shared" si="2"/>
        <v>212.06399999999999</v>
      </c>
    </row>
    <row r="6" spans="1:5" x14ac:dyDescent="0.2">
      <c r="A6" s="4">
        <v>4</v>
      </c>
      <c r="B6" s="4">
        <v>40</v>
      </c>
      <c r="C6" s="4">
        <f t="shared" si="0"/>
        <v>160</v>
      </c>
      <c r="D6" s="4">
        <f>(A6-$C$8)^2</f>
        <v>8.2943999999999996</v>
      </c>
      <c r="E6" s="4">
        <f t="shared" si="2"/>
        <v>331.77599999999995</v>
      </c>
    </row>
    <row r="7" spans="1:5" x14ac:dyDescent="0.2">
      <c r="A7" s="5" t="s">
        <v>14</v>
      </c>
      <c r="B7" s="6">
        <f>SUM(B2:B6)</f>
        <v>1000</v>
      </c>
      <c r="C7" s="6">
        <f>SUM(C2:C6)</f>
        <v>1120</v>
      </c>
      <c r="D7" s="6">
        <f>SUM(D2:D6)</f>
        <v>13.872</v>
      </c>
      <c r="E7" s="7">
        <f>SUM(E2:E6)</f>
        <v>1065.5999999999999</v>
      </c>
    </row>
    <row r="8" spans="1:5" x14ac:dyDescent="0.2">
      <c r="A8" s="5" t="s">
        <v>3</v>
      </c>
      <c r="B8" s="6"/>
      <c r="C8" s="8">
        <f>C7/B7</f>
        <v>1.1200000000000001</v>
      </c>
      <c r="D8" s="6"/>
      <c r="E8" s="6"/>
    </row>
    <row r="9" spans="1:5" x14ac:dyDescent="0.2">
      <c r="A9" s="5" t="s">
        <v>27</v>
      </c>
      <c r="B9" s="9"/>
      <c r="C9" s="9"/>
      <c r="D9" s="9"/>
      <c r="E9" s="10">
        <f>E7/(B7-1)</f>
        <v>1.0666666666666667</v>
      </c>
    </row>
    <row r="10" spans="1:5" x14ac:dyDescent="0.2">
      <c r="A10" s="5" t="s">
        <v>28</v>
      </c>
      <c r="B10" s="9"/>
      <c r="C10" s="9"/>
      <c r="D10" s="9"/>
      <c r="E10" s="10">
        <f>SQRT(E9)</f>
        <v>1.0327955589886444</v>
      </c>
    </row>
    <row r="12" spans="1:5" x14ac:dyDescent="0.2">
      <c r="A12" s="11" t="s">
        <v>36</v>
      </c>
      <c r="B12" s="11"/>
      <c r="C12" s="11"/>
      <c r="D12" s="11"/>
      <c r="E12" s="11"/>
    </row>
    <row r="13" spans="1:5" x14ac:dyDescent="0.2">
      <c r="A13" s="1" t="s">
        <v>34</v>
      </c>
      <c r="B13" s="1" t="s">
        <v>37</v>
      </c>
      <c r="C13" s="1" t="s">
        <v>32</v>
      </c>
      <c r="D13" s="1" t="s">
        <v>33</v>
      </c>
      <c r="E13" s="1" t="s">
        <v>31</v>
      </c>
    </row>
    <row r="14" spans="1:5" x14ac:dyDescent="0.2">
      <c r="A14" s="12">
        <v>0</v>
      </c>
      <c r="B14" s="12">
        <v>0.3</v>
      </c>
      <c r="C14" s="12">
        <f>A14*B14</f>
        <v>0</v>
      </c>
      <c r="D14" s="12">
        <f>(A14)^2</f>
        <v>0</v>
      </c>
      <c r="E14" s="12">
        <f>D14*B14</f>
        <v>0</v>
      </c>
    </row>
    <row r="15" spans="1:5" x14ac:dyDescent="0.2">
      <c r="A15" s="12">
        <v>1</v>
      </c>
      <c r="B15" s="12">
        <v>0.42</v>
      </c>
      <c r="C15" s="12">
        <f t="shared" ref="C15:C18" si="3">A15*B15</f>
        <v>0.42</v>
      </c>
      <c r="D15" s="12">
        <f t="shared" ref="D15:D18" si="4">(A15)^2</f>
        <v>1</v>
      </c>
      <c r="E15" s="12">
        <f>D15*B15</f>
        <v>0.42</v>
      </c>
    </row>
    <row r="16" spans="1:5" x14ac:dyDescent="0.2">
      <c r="A16" s="12">
        <v>2</v>
      </c>
      <c r="B16" s="12">
        <v>0.18</v>
      </c>
      <c r="C16" s="12">
        <f t="shared" si="3"/>
        <v>0.36</v>
      </c>
      <c r="D16" s="12">
        <f t="shared" si="4"/>
        <v>4</v>
      </c>
      <c r="E16" s="12">
        <f t="shared" ref="E16:E18" si="5">D16*B16</f>
        <v>0.72</v>
      </c>
    </row>
    <row r="17" spans="1:6" x14ac:dyDescent="0.2">
      <c r="A17" s="12">
        <v>3</v>
      </c>
      <c r="B17" s="12">
        <v>0.06</v>
      </c>
      <c r="C17" s="12">
        <f t="shared" si="3"/>
        <v>0.18</v>
      </c>
      <c r="D17" s="12">
        <f t="shared" si="4"/>
        <v>9</v>
      </c>
      <c r="E17" s="12">
        <f t="shared" si="5"/>
        <v>0.54</v>
      </c>
    </row>
    <row r="18" spans="1:6" x14ac:dyDescent="0.2">
      <c r="A18" s="4">
        <v>4</v>
      </c>
      <c r="B18" s="4">
        <v>0.04</v>
      </c>
      <c r="C18" s="4">
        <f t="shared" si="3"/>
        <v>0.16</v>
      </c>
      <c r="D18" s="4">
        <f t="shared" si="4"/>
        <v>16</v>
      </c>
      <c r="E18" s="4">
        <f t="shared" si="5"/>
        <v>0.64</v>
      </c>
    </row>
    <row r="19" spans="1:6" x14ac:dyDescent="0.2">
      <c r="A19" s="5" t="s">
        <v>14</v>
      </c>
      <c r="B19" s="3">
        <f>SUM(B14:B18)</f>
        <v>1</v>
      </c>
      <c r="C19" s="6">
        <f>SUM(C14:C18)</f>
        <v>1.1199999999999999</v>
      </c>
      <c r="D19" s="13">
        <f>SUM(D14:D18)</f>
        <v>30</v>
      </c>
      <c r="E19" s="6">
        <f>SUM(E14:E18)</f>
        <v>2.3199999999999998</v>
      </c>
    </row>
    <row r="20" spans="1:6" x14ac:dyDescent="0.2">
      <c r="A20" s="5" t="s">
        <v>3</v>
      </c>
      <c r="B20" s="6"/>
      <c r="C20" s="8">
        <f>C19</f>
        <v>1.1199999999999999</v>
      </c>
      <c r="D20" s="6"/>
      <c r="E20" s="6"/>
    </row>
    <row r="21" spans="1:6" x14ac:dyDescent="0.2">
      <c r="A21" s="5" t="s">
        <v>27</v>
      </c>
      <c r="B21" s="6"/>
      <c r="C21" s="6"/>
      <c r="D21" s="6"/>
      <c r="E21" s="10">
        <f>E19-(C20^2)</f>
        <v>1.0656000000000001</v>
      </c>
      <c r="F21" s="2" t="s">
        <v>38</v>
      </c>
    </row>
    <row r="22" spans="1:6" x14ac:dyDescent="0.2">
      <c r="A22" s="5" t="s">
        <v>28</v>
      </c>
      <c r="B22" s="6"/>
      <c r="C22" s="6"/>
      <c r="D22" s="6"/>
      <c r="E22" s="10">
        <f>SQRT(E21)</f>
        <v>1.0322790320451152</v>
      </c>
    </row>
  </sheetData>
  <mergeCells count="1"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="200" zoomScaleNormal="200" workbookViewId="0"/>
  </sheetViews>
  <sheetFormatPr baseColWidth="10" defaultColWidth="8.83203125" defaultRowHeight="16" x14ac:dyDescent="0.2"/>
  <cols>
    <col min="1" max="1" width="8.83203125" style="2" bestFit="1" customWidth="1"/>
    <col min="2" max="2" width="12.5" style="2" bestFit="1" customWidth="1"/>
    <col min="3" max="16384" width="8.83203125" style="2"/>
  </cols>
  <sheetData>
    <row r="1" spans="1:2" x14ac:dyDescent="0.2">
      <c r="B1" s="14" t="s">
        <v>30</v>
      </c>
    </row>
    <row r="2" spans="1:2" x14ac:dyDescent="0.2">
      <c r="B2" s="15">
        <v>1</v>
      </c>
    </row>
    <row r="3" spans="1:2" x14ac:dyDescent="0.2">
      <c r="B3" s="15">
        <v>2</v>
      </c>
    </row>
    <row r="4" spans="1:2" x14ac:dyDescent="0.2">
      <c r="B4" s="15">
        <v>2</v>
      </c>
    </row>
    <row r="5" spans="1:2" x14ac:dyDescent="0.2">
      <c r="B5" s="15">
        <v>3</v>
      </c>
    </row>
    <row r="6" spans="1:2" x14ac:dyDescent="0.2">
      <c r="B6" s="15">
        <v>1</v>
      </c>
    </row>
    <row r="7" spans="1:2" x14ac:dyDescent="0.2">
      <c r="B7" s="15">
        <v>1</v>
      </c>
    </row>
    <row r="8" spans="1:2" x14ac:dyDescent="0.2">
      <c r="B8" s="15">
        <v>1</v>
      </c>
    </row>
    <row r="9" spans="1:2" x14ac:dyDescent="0.2">
      <c r="B9" s="15">
        <v>2</v>
      </c>
    </row>
    <row r="10" spans="1:2" x14ac:dyDescent="0.2">
      <c r="B10" s="15">
        <v>3</v>
      </c>
    </row>
    <row r="11" spans="1:2" x14ac:dyDescent="0.2">
      <c r="B11" s="16">
        <v>1</v>
      </c>
    </row>
    <row r="12" spans="1:2" x14ac:dyDescent="0.2">
      <c r="A12" s="5" t="s">
        <v>14</v>
      </c>
      <c r="B12" s="8">
        <f>SUM(B2:B11)</f>
        <v>17</v>
      </c>
    </row>
    <row r="13" spans="1:2" x14ac:dyDescent="0.2">
      <c r="A13" s="5" t="s">
        <v>3</v>
      </c>
      <c r="B13" s="17">
        <f>AVERAGE(B2:B11)</f>
        <v>1.7</v>
      </c>
    </row>
    <row r="14" spans="1:2" x14ac:dyDescent="0.2">
      <c r="A14" s="5" t="s">
        <v>27</v>
      </c>
      <c r="B14" s="17">
        <f>_xlfn.VAR.S(B2:B11)</f>
        <v>0.67777777777777792</v>
      </c>
    </row>
    <row r="15" spans="1:2" x14ac:dyDescent="0.2">
      <c r="A15" s="5" t="s">
        <v>28</v>
      </c>
      <c r="B15" s="17">
        <f>SQRT(B14)</f>
        <v>0.8232726023485647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tabSelected="1" zoomScale="140" zoomScaleNormal="140" workbookViewId="0"/>
  </sheetViews>
  <sheetFormatPr baseColWidth="10" defaultColWidth="8.83203125" defaultRowHeight="16" x14ac:dyDescent="0.2"/>
  <cols>
    <col min="1" max="1" width="10.5" style="3" bestFit="1" customWidth="1"/>
    <col min="2" max="3" width="9.1640625" style="3"/>
    <col min="4" max="4" width="8.83203125" style="2"/>
    <col min="5" max="5" width="18.6640625" style="2" customWidth="1"/>
    <col min="6" max="7" width="15.6640625" style="2" customWidth="1"/>
    <col min="8" max="16384" width="8.83203125" style="2"/>
  </cols>
  <sheetData>
    <row r="1" spans="1:7" ht="17" thickBot="1" x14ac:dyDescent="0.25">
      <c r="A1" s="18" t="s">
        <v>2</v>
      </c>
      <c r="B1" s="18" t="s">
        <v>0</v>
      </c>
      <c r="C1" s="18" t="s">
        <v>1</v>
      </c>
    </row>
    <row r="2" spans="1:7" x14ac:dyDescent="0.2">
      <c r="A2" s="3">
        <v>1</v>
      </c>
      <c r="B2" s="3">
        <v>53</v>
      </c>
      <c r="C2" s="3">
        <v>76</v>
      </c>
      <c r="E2" s="19"/>
      <c r="F2" s="23" t="s">
        <v>0</v>
      </c>
      <c r="G2" s="23" t="s">
        <v>1</v>
      </c>
    </row>
    <row r="3" spans="1:7" x14ac:dyDescent="0.2">
      <c r="A3" s="3">
        <v>2</v>
      </c>
      <c r="B3" s="3">
        <v>85</v>
      </c>
      <c r="C3" s="3">
        <v>87</v>
      </c>
      <c r="E3" s="20" t="s">
        <v>3</v>
      </c>
      <c r="F3" s="24">
        <v>80.071428571428569</v>
      </c>
      <c r="G3" s="24">
        <v>81.107142857142861</v>
      </c>
    </row>
    <row r="4" spans="1:7" x14ac:dyDescent="0.2">
      <c r="A4" s="3">
        <v>3</v>
      </c>
      <c r="B4" s="3">
        <v>95</v>
      </c>
      <c r="C4" s="3">
        <v>78</v>
      </c>
      <c r="E4" s="20" t="s">
        <v>4</v>
      </c>
      <c r="F4" s="24">
        <v>2.316223305427322</v>
      </c>
      <c r="G4" s="24">
        <v>0.61794009596975108</v>
      </c>
    </row>
    <row r="5" spans="1:7" x14ac:dyDescent="0.2">
      <c r="A5" s="3">
        <v>4</v>
      </c>
      <c r="B5" s="3">
        <v>82</v>
      </c>
      <c r="C5" s="3">
        <v>77</v>
      </c>
      <c r="E5" s="20" t="s">
        <v>5</v>
      </c>
      <c r="F5" s="24">
        <v>80.5</v>
      </c>
      <c r="G5" s="24">
        <v>81</v>
      </c>
    </row>
    <row r="6" spans="1:7" x14ac:dyDescent="0.2">
      <c r="A6" s="3">
        <v>5</v>
      </c>
      <c r="B6" s="3">
        <v>73</v>
      </c>
      <c r="C6" s="3">
        <v>79</v>
      </c>
      <c r="E6" s="20" t="s">
        <v>6</v>
      </c>
      <c r="F6" s="25">
        <v>78</v>
      </c>
      <c r="G6" s="25">
        <v>78</v>
      </c>
    </row>
    <row r="7" spans="1:7" x14ac:dyDescent="0.2">
      <c r="A7" s="3">
        <v>6</v>
      </c>
      <c r="B7" s="3">
        <v>78</v>
      </c>
      <c r="C7" s="3">
        <v>81</v>
      </c>
      <c r="E7" s="20" t="s">
        <v>7</v>
      </c>
      <c r="F7" s="24">
        <v>12.256301694105394</v>
      </c>
      <c r="G7" s="24">
        <v>3.269831638142696</v>
      </c>
    </row>
    <row r="8" spans="1:7" x14ac:dyDescent="0.2">
      <c r="A8" s="3">
        <v>7</v>
      </c>
      <c r="B8" s="3">
        <v>43</v>
      </c>
      <c r="C8" s="3">
        <v>80</v>
      </c>
      <c r="E8" s="2" t="s">
        <v>8</v>
      </c>
      <c r="F8" s="26">
        <v>150.21693121693076</v>
      </c>
      <c r="G8" s="26">
        <v>10.691798941798947</v>
      </c>
    </row>
    <row r="9" spans="1:7" x14ac:dyDescent="0.2">
      <c r="A9" s="3">
        <v>8</v>
      </c>
      <c r="B9" s="3">
        <v>77</v>
      </c>
      <c r="C9" s="3">
        <v>81</v>
      </c>
      <c r="E9" s="2" t="s">
        <v>9</v>
      </c>
      <c r="F9" s="26">
        <v>2.3597744100660201</v>
      </c>
      <c r="G9" s="26">
        <v>-0.23473707479864592</v>
      </c>
    </row>
    <row r="10" spans="1:7" x14ac:dyDescent="0.2">
      <c r="A10" s="3">
        <v>9</v>
      </c>
      <c r="B10" s="3">
        <v>71</v>
      </c>
      <c r="C10" s="3">
        <v>77</v>
      </c>
      <c r="E10" s="2" t="s">
        <v>10</v>
      </c>
      <c r="F10" s="26">
        <v>-1.1740937948642542</v>
      </c>
      <c r="G10" s="26">
        <v>0.47937569143641218</v>
      </c>
    </row>
    <row r="11" spans="1:7" x14ac:dyDescent="0.2">
      <c r="A11" s="3">
        <v>10</v>
      </c>
      <c r="B11" s="3">
        <v>84</v>
      </c>
      <c r="C11" s="3">
        <v>77</v>
      </c>
      <c r="E11" s="2" t="s">
        <v>11</v>
      </c>
      <c r="F11" s="6">
        <v>55</v>
      </c>
      <c r="G11" s="6">
        <v>13</v>
      </c>
    </row>
    <row r="12" spans="1:7" x14ac:dyDescent="0.2">
      <c r="A12" s="3">
        <v>11</v>
      </c>
      <c r="B12" s="3">
        <v>88</v>
      </c>
      <c r="C12" s="3">
        <v>78</v>
      </c>
      <c r="E12" s="2" t="s">
        <v>12</v>
      </c>
      <c r="F12" s="6">
        <v>43</v>
      </c>
      <c r="G12" s="6">
        <v>76</v>
      </c>
    </row>
    <row r="13" spans="1:7" x14ac:dyDescent="0.2">
      <c r="A13" s="3">
        <v>12</v>
      </c>
      <c r="B13" s="3">
        <v>78</v>
      </c>
      <c r="C13" s="3">
        <v>80</v>
      </c>
      <c r="E13" s="2" t="s">
        <v>13</v>
      </c>
      <c r="F13" s="6">
        <v>98</v>
      </c>
      <c r="G13" s="6">
        <v>89</v>
      </c>
    </row>
    <row r="14" spans="1:7" x14ac:dyDescent="0.2">
      <c r="A14" s="3">
        <v>13</v>
      </c>
      <c r="B14" s="3">
        <v>84</v>
      </c>
      <c r="C14" s="3">
        <v>82</v>
      </c>
      <c r="E14" s="2" t="s">
        <v>14</v>
      </c>
      <c r="F14" s="6">
        <v>2242</v>
      </c>
      <c r="G14" s="6">
        <v>2271</v>
      </c>
    </row>
    <row r="15" spans="1:7" ht="17" thickBot="1" x14ac:dyDescent="0.25">
      <c r="A15" s="3">
        <v>14</v>
      </c>
      <c r="B15" s="3">
        <v>78</v>
      </c>
      <c r="C15" s="3">
        <v>85</v>
      </c>
      <c r="E15" s="21" t="s">
        <v>15</v>
      </c>
      <c r="F15" s="27">
        <v>28</v>
      </c>
      <c r="G15" s="27">
        <v>28</v>
      </c>
    </row>
    <row r="16" spans="1:7" x14ac:dyDescent="0.2">
      <c r="A16" s="3">
        <v>15</v>
      </c>
      <c r="B16" s="3">
        <v>81</v>
      </c>
      <c r="C16" s="3">
        <v>78</v>
      </c>
    </row>
    <row r="17" spans="1:6" x14ac:dyDescent="0.2">
      <c r="A17" s="3">
        <v>16</v>
      </c>
      <c r="B17" s="3">
        <v>79</v>
      </c>
      <c r="C17" s="3">
        <v>84</v>
      </c>
    </row>
    <row r="18" spans="1:6" ht="17" thickBot="1" x14ac:dyDescent="0.25">
      <c r="A18" s="3">
        <v>17</v>
      </c>
      <c r="B18" s="3">
        <v>93</v>
      </c>
      <c r="C18" s="3">
        <v>84</v>
      </c>
    </row>
    <row r="19" spans="1:6" x14ac:dyDescent="0.2">
      <c r="A19" s="3">
        <v>18</v>
      </c>
      <c r="B19" s="3">
        <v>69</v>
      </c>
      <c r="C19" s="3">
        <v>85</v>
      </c>
      <c r="E19" s="22" t="s">
        <v>16</v>
      </c>
      <c r="F19" s="22" t="s">
        <v>17</v>
      </c>
    </row>
    <row r="20" spans="1:6" x14ac:dyDescent="0.2">
      <c r="A20" s="3">
        <v>19</v>
      </c>
      <c r="B20" s="3">
        <v>98</v>
      </c>
      <c r="C20" s="3">
        <v>79</v>
      </c>
      <c r="E20" s="2" t="s">
        <v>18</v>
      </c>
      <c r="F20" s="2">
        <v>1</v>
      </c>
    </row>
    <row r="21" spans="1:6" x14ac:dyDescent="0.2">
      <c r="A21" s="3">
        <v>20</v>
      </c>
      <c r="B21" s="3">
        <v>79</v>
      </c>
      <c r="C21" s="3">
        <v>83</v>
      </c>
      <c r="E21" s="2" t="s">
        <v>19</v>
      </c>
      <c r="F21" s="2">
        <v>1</v>
      </c>
    </row>
    <row r="22" spans="1:6" x14ac:dyDescent="0.2">
      <c r="A22" s="3">
        <v>21</v>
      </c>
      <c r="B22" s="3">
        <v>91</v>
      </c>
      <c r="C22" s="3">
        <v>78</v>
      </c>
      <c r="E22" s="2" t="s">
        <v>20</v>
      </c>
      <c r="F22" s="2">
        <v>2</v>
      </c>
    </row>
    <row r="23" spans="1:6" x14ac:dyDescent="0.2">
      <c r="A23" s="3">
        <v>22</v>
      </c>
      <c r="B23" s="3">
        <v>69</v>
      </c>
      <c r="C23" s="3">
        <v>82</v>
      </c>
      <c r="E23" s="2" t="s">
        <v>21</v>
      </c>
      <c r="F23" s="2">
        <v>10</v>
      </c>
    </row>
    <row r="24" spans="1:6" x14ac:dyDescent="0.2">
      <c r="A24" s="3">
        <v>23</v>
      </c>
      <c r="B24" s="3">
        <v>85</v>
      </c>
      <c r="C24" s="3">
        <v>82</v>
      </c>
      <c r="E24" s="2" t="s">
        <v>22</v>
      </c>
      <c r="F24" s="2">
        <v>8</v>
      </c>
    </row>
    <row r="25" spans="1:6" x14ac:dyDescent="0.2">
      <c r="A25" s="3">
        <v>24</v>
      </c>
      <c r="B25" s="3">
        <v>91</v>
      </c>
      <c r="C25" s="3">
        <v>84</v>
      </c>
      <c r="E25" s="2" t="s">
        <v>23</v>
      </c>
      <c r="F25" s="2">
        <v>6</v>
      </c>
    </row>
    <row r="26" spans="1:6" ht="17" thickBot="1" x14ac:dyDescent="0.25">
      <c r="A26" s="3">
        <v>25</v>
      </c>
      <c r="B26" s="3">
        <v>80</v>
      </c>
      <c r="C26" s="3">
        <v>81</v>
      </c>
      <c r="E26" s="21" t="s">
        <v>24</v>
      </c>
      <c r="F26" s="21">
        <v>0</v>
      </c>
    </row>
    <row r="27" spans="1:6" x14ac:dyDescent="0.2">
      <c r="A27" s="3">
        <v>26</v>
      </c>
      <c r="B27" s="3">
        <v>98</v>
      </c>
      <c r="C27" s="3">
        <v>81</v>
      </c>
    </row>
    <row r="28" spans="1:6" x14ac:dyDescent="0.2">
      <c r="A28" s="3">
        <v>27</v>
      </c>
      <c r="B28" s="3">
        <v>88</v>
      </c>
      <c r="C28" s="3">
        <v>89</v>
      </c>
    </row>
    <row r="29" spans="1:6" x14ac:dyDescent="0.2">
      <c r="A29" s="3">
        <v>28</v>
      </c>
      <c r="B29" s="3">
        <v>72</v>
      </c>
      <c r="C29" s="3">
        <v>83</v>
      </c>
    </row>
    <row r="32" spans="1:6" ht="17" thickBot="1" x14ac:dyDescent="0.25"/>
    <row r="33" spans="5:6" x14ac:dyDescent="0.2">
      <c r="E33" s="22" t="s">
        <v>16</v>
      </c>
      <c r="F33" s="22" t="s">
        <v>17</v>
      </c>
    </row>
    <row r="34" spans="5:6" x14ac:dyDescent="0.2">
      <c r="E34" s="2" t="s">
        <v>18</v>
      </c>
      <c r="F34" s="2">
        <v>0</v>
      </c>
    </row>
    <row r="35" spans="5:6" x14ac:dyDescent="0.2">
      <c r="E35" s="2" t="s">
        <v>19</v>
      </c>
      <c r="F35" s="2">
        <v>0</v>
      </c>
    </row>
    <row r="36" spans="5:6" x14ac:dyDescent="0.2">
      <c r="E36" s="2" t="s">
        <v>20</v>
      </c>
      <c r="F36" s="2">
        <v>0</v>
      </c>
    </row>
    <row r="37" spans="5:6" x14ac:dyDescent="0.2">
      <c r="E37" s="2" t="s">
        <v>21</v>
      </c>
      <c r="F37" s="2">
        <v>12</v>
      </c>
    </row>
    <row r="38" spans="5:6" x14ac:dyDescent="0.2">
      <c r="E38" s="2" t="s">
        <v>22</v>
      </c>
      <c r="F38" s="2">
        <v>16</v>
      </c>
    </row>
    <row r="39" spans="5:6" x14ac:dyDescent="0.2">
      <c r="E39" s="2" t="s">
        <v>23</v>
      </c>
      <c r="F39" s="2">
        <v>0</v>
      </c>
    </row>
    <row r="40" spans="5:6" ht="17" thickBot="1" x14ac:dyDescent="0.25">
      <c r="E40" s="21" t="s">
        <v>24</v>
      </c>
      <c r="F40" s="21">
        <v>0</v>
      </c>
    </row>
  </sheetData>
  <sortState xmlns:xlrd2="http://schemas.microsoft.com/office/spreadsheetml/2017/richdata2" ref="E35:E39">
    <sortCondition ref="E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Ex4</vt:lpstr>
      <vt:lpstr>EX5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Schleicher</dc:creator>
  <cp:lastModifiedBy>Sumair Hussain</cp:lastModifiedBy>
  <dcterms:created xsi:type="dcterms:W3CDTF">2018-10-10T13:32:37Z</dcterms:created>
  <dcterms:modified xsi:type="dcterms:W3CDTF">2025-09-12T09:21:59Z</dcterms:modified>
</cp:coreProperties>
</file>