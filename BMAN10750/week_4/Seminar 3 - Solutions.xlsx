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user/Desktop/OneDrive-AMBS/AMBS/AMBS Teaching/BMAN 10750 - Quantitative Methods for A&amp;F  - Sem 1/1-Teaching Materials/WEEK 4/"/>
    </mc:Choice>
  </mc:AlternateContent>
  <xr:revisionPtr revIDLastSave="0" documentId="13_ncr:1_{9517EA59-32C8-C842-84BB-4240A3C20322}" xr6:coauthVersionLast="47" xr6:coauthVersionMax="47" xr10:uidLastSave="{00000000-0000-0000-0000-000000000000}"/>
  <bookViews>
    <workbookView xWindow="0" yWindow="500" windowWidth="28980" windowHeight="22640" xr2:uid="{00000000-000D-0000-FFFF-FFFF00000000}"/>
  </bookViews>
  <sheets>
    <sheet name="Ex4" sheetId="1" r:id="rId1"/>
    <sheet name="Ex6" sheetId="2" r:id="rId2"/>
    <sheet name="Ex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C3" i="3"/>
  <c r="B4" i="2"/>
  <c r="B3" i="2"/>
  <c r="B2" i="2"/>
  <c r="B11" i="1"/>
  <c r="B10" i="1"/>
  <c r="B9" i="1"/>
  <c r="B8" i="1"/>
  <c r="B7" i="1"/>
  <c r="B6" i="1"/>
  <c r="F3" i="1"/>
  <c r="F4" i="1" s="1"/>
  <c r="F2" i="1"/>
  <c r="I4" i="3"/>
  <c r="I5" i="3"/>
  <c r="I6" i="3"/>
  <c r="I3" i="3"/>
  <c r="D4" i="3"/>
  <c r="D5" i="3"/>
  <c r="D6" i="3"/>
  <c r="D3" i="3"/>
  <c r="D7" i="3" l="1"/>
  <c r="I7" i="3"/>
  <c r="E4" i="1"/>
  <c r="D4" i="1"/>
  <c r="C4" i="1"/>
  <c r="B4" i="1"/>
  <c r="H6" i="3"/>
  <c r="H5" i="3"/>
  <c r="H4" i="3"/>
  <c r="H3" i="3"/>
  <c r="H7" i="3" s="1"/>
  <c r="H9" i="3" s="1"/>
  <c r="C6" i="3"/>
  <c r="C5" i="3"/>
  <c r="C4" i="3"/>
  <c r="A4" i="2"/>
  <c r="A3" i="2"/>
  <c r="C7" i="3" l="1"/>
  <c r="B5" i="2"/>
  <c r="H10" i="3"/>
</calcChain>
</file>

<file path=xl/sharedStrings.xml><?xml version="1.0" encoding="utf-8"?>
<sst xmlns="http://schemas.openxmlformats.org/spreadsheetml/2006/main" count="30" uniqueCount="21">
  <si>
    <t>X</t>
  </si>
  <si>
    <t>P(X)</t>
  </si>
  <si>
    <t>FIRM A</t>
  </si>
  <si>
    <t>FIRM B</t>
  </si>
  <si>
    <t>Accountancy</t>
  </si>
  <si>
    <t>Economics</t>
  </si>
  <si>
    <t>Finance</t>
  </si>
  <si>
    <t>Male</t>
  </si>
  <si>
    <t>Female</t>
  </si>
  <si>
    <t>a)</t>
  </si>
  <si>
    <t>b)</t>
  </si>
  <si>
    <t>c)</t>
  </si>
  <si>
    <t>d)</t>
  </si>
  <si>
    <t>e)</t>
  </si>
  <si>
    <t>f)</t>
  </si>
  <si>
    <t>Sum</t>
  </si>
  <si>
    <t>XP(X)</t>
  </si>
  <si>
    <t>X^2P(X)</t>
  </si>
  <si>
    <t>Business
Information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</si>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</sst>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200" zoomScaleNormal="200" workbookViewId="0"/>
  </sheetViews>
  <sheetFormatPr baseColWidth="10" defaultColWidth="8.83203125" defaultRowHeight="16" x14ac:dyDescent="0.2"/>
  <cols>
    <col min="1" max="1" width="8.83203125" style="4"/>
    <col min="2" max="6" width="15.6640625" style="3" customWidth="1"/>
    <col min="7" max="8" width="15.6640625" style="4" customWidth="1"/>
    <col min="9" max="16384" width="8.83203125" style="4"/>
  </cols>
  <sheetData>
    <row r="1" spans="1:6" ht="34" x14ac:dyDescent="0.2">
      <c r="A1" s="8"/>
      <c r="B1" s="8" t="s">
        <v>4</v>
      </c>
      <c r="C1" s="8" t="s">
        <v>5</v>
      </c>
      <c r="D1" s="8" t="s">
        <v>6</v>
      </c>
      <c r="E1" s="9" t="s">
        <v>18</v>
      </c>
      <c r="F1" s="10" t="s">
        <v>15</v>
      </c>
    </row>
    <row r="2" spans="1:6" x14ac:dyDescent="0.2">
      <c r="A2" s="6" t="s">
        <v>7</v>
      </c>
      <c r="B2" s="6">
        <v>330</v>
      </c>
      <c r="C2" s="6">
        <v>360</v>
      </c>
      <c r="D2" s="6">
        <v>90</v>
      </c>
      <c r="E2" s="6">
        <v>120</v>
      </c>
      <c r="F2" s="7">
        <f>SUM(B2:E2)</f>
        <v>900</v>
      </c>
    </row>
    <row r="3" spans="1:6" x14ac:dyDescent="0.2">
      <c r="A3" s="8" t="s">
        <v>8</v>
      </c>
      <c r="B3" s="8">
        <v>120</v>
      </c>
      <c r="C3" s="8">
        <v>390</v>
      </c>
      <c r="D3" s="8">
        <v>60</v>
      </c>
      <c r="E3" s="8">
        <v>30</v>
      </c>
      <c r="F3" s="10">
        <f>SUM(B3:E3)</f>
        <v>600</v>
      </c>
    </row>
    <row r="4" spans="1:6" x14ac:dyDescent="0.2">
      <c r="A4" s="7" t="s">
        <v>15</v>
      </c>
      <c r="B4" s="7">
        <f>SUM(B2:B3)</f>
        <v>450</v>
      </c>
      <c r="C4" s="7">
        <f t="shared" ref="C4:E4" si="0">SUM(C2:C3)</f>
        <v>750</v>
      </c>
      <c r="D4" s="7">
        <f t="shared" si="0"/>
        <v>150</v>
      </c>
      <c r="E4" s="7">
        <f t="shared" si="0"/>
        <v>150</v>
      </c>
      <c r="F4" s="7">
        <f>SUM(F2:F3)</f>
        <v>1500</v>
      </c>
    </row>
    <row r="6" spans="1:6" x14ac:dyDescent="0.2">
      <c r="A6" s="3" t="s">
        <v>9</v>
      </c>
      <c r="B6" s="3">
        <f>C4/$F$4</f>
        <v>0.5</v>
      </c>
      <c r="C6" s="4"/>
    </row>
    <row r="7" spans="1:6" x14ac:dyDescent="0.2">
      <c r="A7" s="3" t="s">
        <v>10</v>
      </c>
      <c r="B7" s="3">
        <f>C3/$F$3</f>
        <v>0.65</v>
      </c>
      <c r="C7" s="4"/>
    </row>
    <row r="8" spans="1:6" x14ac:dyDescent="0.2">
      <c r="A8" s="3" t="s">
        <v>11</v>
      </c>
      <c r="B8" s="3">
        <f>C3/$F$4</f>
        <v>0.26</v>
      </c>
      <c r="C8" s="4"/>
    </row>
    <row r="9" spans="1:6" x14ac:dyDescent="0.2">
      <c r="A9" s="3" t="s">
        <v>12</v>
      </c>
      <c r="B9" s="3">
        <f>C3/$F$3</f>
        <v>0.65</v>
      </c>
      <c r="C9" s="4"/>
    </row>
    <row r="10" spans="1:6" x14ac:dyDescent="0.2">
      <c r="A10" s="3" t="s">
        <v>13</v>
      </c>
      <c r="B10" s="3">
        <f>D3/$D$4</f>
        <v>0.4</v>
      </c>
      <c r="C10" s="4"/>
    </row>
    <row r="11" spans="1:6" x14ac:dyDescent="0.2">
      <c r="A11" s="3" t="s">
        <v>14</v>
      </c>
      <c r="B11" s="3">
        <f>D3/$D$4</f>
        <v>0.4</v>
      </c>
      <c r="C11" s="4"/>
    </row>
    <row r="12" spans="1:6" x14ac:dyDescent="0.2">
      <c r="C12" s="5"/>
      <c r="D12" s="5"/>
      <c r="E12" s="5"/>
    </row>
    <row r="14" spans="1:6" x14ac:dyDescent="0.2">
      <c r="D14" s="5"/>
      <c r="E14" s="5"/>
    </row>
    <row r="17" spans="3:5" x14ac:dyDescent="0.2">
      <c r="C17" s="5"/>
      <c r="E17" s="5"/>
    </row>
    <row r="18" spans="3:5" x14ac:dyDescent="0.2">
      <c r="D18" s="5"/>
    </row>
    <row r="19" spans="3:5" x14ac:dyDescent="0.2">
      <c r="E19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200" zoomScaleNormal="200" workbookViewId="0"/>
  </sheetViews>
  <sheetFormatPr baseColWidth="10" defaultColWidth="8.83203125" defaultRowHeight="15" x14ac:dyDescent="0.2"/>
  <cols>
    <col min="1" max="1" width="9.1640625" style="1"/>
    <col min="2" max="2" width="9.6640625" style="1" customWidth="1"/>
  </cols>
  <sheetData>
    <row r="1" spans="1:2" x14ac:dyDescent="0.2">
      <c r="A1" s="14" t="s">
        <v>0</v>
      </c>
      <c r="B1" s="14" t="s">
        <v>1</v>
      </c>
    </row>
    <row r="2" spans="1:2" x14ac:dyDescent="0.2">
      <c r="A2" s="11">
        <v>1</v>
      </c>
      <c r="B2" s="12">
        <f>0.4^(A2-1)*0.6/0.936</f>
        <v>0.64102564102564097</v>
      </c>
    </row>
    <row r="3" spans="1:2" x14ac:dyDescent="0.2">
      <c r="A3" s="11">
        <f>1+A2</f>
        <v>2</v>
      </c>
      <c r="B3" s="12">
        <f>0.4^(A3-1)*0.6/0.936</f>
        <v>0.25641025641025639</v>
      </c>
    </row>
    <row r="4" spans="1:2" x14ac:dyDescent="0.2">
      <c r="A4" s="15">
        <f>1+A3</f>
        <v>3</v>
      </c>
      <c r="B4" s="16">
        <f>0.4^(A4-1)*0.6/0.936</f>
        <v>0.10256410256410257</v>
      </c>
    </row>
    <row r="5" spans="1:2" x14ac:dyDescent="0.2">
      <c r="A5" s="13" t="s">
        <v>15</v>
      </c>
      <c r="B5" s="13">
        <f>SUM(B2:B4)</f>
        <v>0.99999999999999989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="200" zoomScaleNormal="200" workbookViewId="0">
      <selection sqref="A1:D1"/>
    </sheetView>
  </sheetViews>
  <sheetFormatPr baseColWidth="10" defaultColWidth="8.83203125" defaultRowHeight="15" x14ac:dyDescent="0.2"/>
  <cols>
    <col min="1" max="4" width="9.1640625" style="1"/>
    <col min="5" max="5" width="1.6640625" style="1" customWidth="1"/>
    <col min="6" max="9" width="9.1640625" style="1"/>
  </cols>
  <sheetData>
    <row r="1" spans="1:9" x14ac:dyDescent="0.2">
      <c r="A1" s="17" t="s">
        <v>2</v>
      </c>
      <c r="B1" s="17"/>
      <c r="C1" s="17"/>
      <c r="D1" s="17"/>
      <c r="E1" s="13"/>
      <c r="F1" s="17" t="s">
        <v>3</v>
      </c>
      <c r="G1" s="17"/>
      <c r="H1" s="17"/>
      <c r="I1" s="17"/>
    </row>
    <row r="2" spans="1:9" x14ac:dyDescent="0.2">
      <c r="A2" s="15" t="s">
        <v>0</v>
      </c>
      <c r="B2" s="15" t="s">
        <v>1</v>
      </c>
      <c r="C2" s="18" t="s">
        <v>16</v>
      </c>
      <c r="D2" s="18" t="s">
        <v>17</v>
      </c>
      <c r="E2" s="18"/>
      <c r="F2" s="15" t="s">
        <v>0</v>
      </c>
      <c r="G2" s="15" t="s">
        <v>1</v>
      </c>
      <c r="H2" s="18" t="s">
        <v>16</v>
      </c>
      <c r="I2" s="18" t="s">
        <v>17</v>
      </c>
    </row>
    <row r="3" spans="1:9" x14ac:dyDescent="0.2">
      <c r="A3" s="11">
        <v>0.5</v>
      </c>
      <c r="B3" s="11">
        <v>0.6</v>
      </c>
      <c r="C3" s="11">
        <f>A3*B3</f>
        <v>0.3</v>
      </c>
      <c r="D3" s="11">
        <f>A3^2*B3</f>
        <v>0.15</v>
      </c>
      <c r="E3" s="11"/>
      <c r="F3" s="11">
        <v>0.5</v>
      </c>
      <c r="G3" s="11">
        <v>0.1</v>
      </c>
      <c r="H3" s="11">
        <f>F3*G3</f>
        <v>0.05</v>
      </c>
      <c r="I3" s="11">
        <f>F3^2*G3</f>
        <v>2.5000000000000001E-2</v>
      </c>
    </row>
    <row r="4" spans="1:9" x14ac:dyDescent="0.2">
      <c r="A4" s="11">
        <v>1</v>
      </c>
      <c r="B4" s="11">
        <v>0.1</v>
      </c>
      <c r="C4" s="11">
        <f t="shared" ref="C4:C6" si="0">A4*B4</f>
        <v>0.1</v>
      </c>
      <c r="D4" s="11">
        <f t="shared" ref="D4:D6" si="1">A4^2*B4</f>
        <v>0.1</v>
      </c>
      <c r="E4" s="11"/>
      <c r="F4" s="11">
        <v>1</v>
      </c>
      <c r="G4" s="11">
        <v>0.7</v>
      </c>
      <c r="H4" s="11">
        <f t="shared" ref="H4:H6" si="2">F4*G4</f>
        <v>0.7</v>
      </c>
      <c r="I4" s="11">
        <f t="shared" ref="I4:I6" si="3">F4^2*G4</f>
        <v>0.7</v>
      </c>
    </row>
    <row r="5" spans="1:9" x14ac:dyDescent="0.2">
      <c r="A5" s="11">
        <v>1.5</v>
      </c>
      <c r="B5" s="11">
        <v>0.1</v>
      </c>
      <c r="C5" s="11">
        <f t="shared" si="0"/>
        <v>0.15000000000000002</v>
      </c>
      <c r="D5" s="11">
        <f t="shared" si="1"/>
        <v>0.22500000000000001</v>
      </c>
      <c r="E5" s="11"/>
      <c r="F5" s="11">
        <v>1.5</v>
      </c>
      <c r="G5" s="11">
        <v>0.15</v>
      </c>
      <c r="H5" s="11">
        <f t="shared" si="2"/>
        <v>0.22499999999999998</v>
      </c>
      <c r="I5" s="11">
        <f t="shared" si="3"/>
        <v>0.33749999999999997</v>
      </c>
    </row>
    <row r="6" spans="1:9" x14ac:dyDescent="0.2">
      <c r="A6" s="15">
        <v>2</v>
      </c>
      <c r="B6" s="15">
        <v>0.2</v>
      </c>
      <c r="C6" s="15">
        <f t="shared" si="0"/>
        <v>0.4</v>
      </c>
      <c r="D6" s="15">
        <f t="shared" si="1"/>
        <v>0.8</v>
      </c>
      <c r="E6" s="15"/>
      <c r="F6" s="15">
        <v>2</v>
      </c>
      <c r="G6" s="15">
        <v>0.05</v>
      </c>
      <c r="H6" s="15">
        <f t="shared" si="2"/>
        <v>0.1</v>
      </c>
      <c r="I6" s="15">
        <f t="shared" si="3"/>
        <v>0.2</v>
      </c>
    </row>
    <row r="7" spans="1:9" x14ac:dyDescent="0.2">
      <c r="A7" s="13" t="s">
        <v>15</v>
      </c>
      <c r="B7" s="13"/>
      <c r="C7" s="13">
        <f>SUM(C3:C6)</f>
        <v>0.95000000000000007</v>
      </c>
      <c r="D7" s="13">
        <f>SUM(D3:D6)</f>
        <v>1.2749999999999999</v>
      </c>
      <c r="E7" s="13"/>
      <c r="F7" s="13"/>
      <c r="G7" s="13"/>
      <c r="H7" s="13">
        <f>SUM(H3:H6)</f>
        <v>1.075</v>
      </c>
      <c r="I7" s="19">
        <f>SUM(I3:I6)</f>
        <v>1.2625</v>
      </c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3" t="s">
        <v>19</v>
      </c>
      <c r="B9" s="11"/>
      <c r="C9" s="2">
        <f>C7</f>
        <v>0.95000000000000007</v>
      </c>
      <c r="D9" s="11"/>
      <c r="E9" s="11"/>
      <c r="F9" s="11"/>
      <c r="G9" s="11"/>
      <c r="H9" s="2">
        <f>H7</f>
        <v>1.075</v>
      </c>
      <c r="I9" s="11"/>
    </row>
    <row r="10" spans="1:9" x14ac:dyDescent="0.2">
      <c r="A10" s="13" t="s">
        <v>20</v>
      </c>
      <c r="B10" s="11"/>
      <c r="C10" s="2">
        <f>D7-C7^2</f>
        <v>0.37249999999999983</v>
      </c>
      <c r="D10" s="11"/>
      <c r="E10" s="11"/>
      <c r="F10" s="11"/>
      <c r="G10" s="11"/>
      <c r="H10" s="20">
        <f>I7-H7^2</f>
        <v>0.10687500000000005</v>
      </c>
      <c r="I10" s="11"/>
    </row>
  </sheetData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Ex4</vt:lpstr>
      <vt:lpstr>Ex6</vt:lpstr>
      <vt:lpstr>Ex7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Schleicher</dc:creator>
  <cp:lastModifiedBy>Sumair Hussain</cp:lastModifiedBy>
  <dcterms:created xsi:type="dcterms:W3CDTF">2021-10-29T06:49:02Z</dcterms:created>
  <dcterms:modified xsi:type="dcterms:W3CDTF">2025-09-12T10:33:38Z</dcterms:modified>
</cp:coreProperties>
</file>