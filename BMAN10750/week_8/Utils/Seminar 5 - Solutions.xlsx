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OneDrive-AMBS/AMBS/AMBS Teaching/2025-2026/BMAN 10750 - Quantitative Methods for A&amp;F  - Sem 1/1-Teaching Materials/WEEK 7/"/>
    </mc:Choice>
  </mc:AlternateContent>
  <xr:revisionPtr revIDLastSave="1" documentId="13_ncr:1_{B9A45CCA-FB35-574E-A224-332CDE006136}" xr6:coauthVersionLast="47" xr6:coauthVersionMax="47" xr10:uidLastSave="{AE1106BF-B767-46D3-B433-027370861942}"/>
  <bookViews>
    <workbookView xWindow="18140" yWindow="720" windowWidth="27520" windowHeight="24340" firstSheet="4" xr2:uid="{00000000-000D-0000-FFFF-FFFF00000000}"/>
  </bookViews>
  <sheets>
    <sheet name="Ex1" sheetId="2" r:id="rId1"/>
    <sheet name="Ex2" sheetId="3" r:id="rId2"/>
    <sheet name="Ex3" sheetId="4" r:id="rId3"/>
    <sheet name="Ex4" sheetId="1" r:id="rId4"/>
    <sheet name="Ex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5"/>
  <c r="B5" i="5"/>
  <c r="B2" i="5"/>
  <c r="B1" i="5"/>
  <c r="B4" i="5"/>
  <c r="B3" i="5"/>
  <c r="B7" i="1"/>
  <c r="B6" i="1"/>
  <c r="B9" i="1" s="1"/>
  <c r="B5" i="1"/>
  <c r="B4" i="1"/>
  <c r="B8" i="4"/>
  <c r="B7" i="4"/>
  <c r="B8" i="3"/>
  <c r="B7" i="3"/>
  <c r="B8" i="2"/>
  <c r="B10" i="2" s="1"/>
  <c r="B2" i="1"/>
  <c r="B1" i="1"/>
  <c r="B3" i="1"/>
  <c r="B9" i="5" l="1"/>
  <c r="B10" i="5"/>
  <c r="B13" i="1"/>
  <c r="B10" i="1"/>
  <c r="B12" i="1"/>
  <c r="B11" i="2"/>
  <c r="B11" i="4"/>
  <c r="B10" i="4"/>
  <c r="B11" i="3"/>
  <c r="B10" i="3"/>
</calcChain>
</file>

<file path=xl/sharedStrings.xml><?xml version="1.0" encoding="utf-8"?>
<sst xmlns="http://schemas.openxmlformats.org/spreadsheetml/2006/main" count="51" uniqueCount="18">
  <si>
    <t>Population Variance</t>
  </si>
  <si>
    <t>Population Standard Deviation</t>
  </si>
  <si>
    <t>Sample Variance</t>
  </si>
  <si>
    <t>Sample Standard Deviation</t>
  </si>
  <si>
    <t>Mean</t>
  </si>
  <si>
    <t>Sample Size</t>
  </si>
  <si>
    <t>Standard Error</t>
  </si>
  <si>
    <t>95% Z Statistic</t>
  </si>
  <si>
    <t>Lower Bound</t>
  </si>
  <si>
    <t>Upper Bound</t>
  </si>
  <si>
    <t>95% t Statistic</t>
  </si>
  <si>
    <t>Sample of 18 Observations</t>
  </si>
  <si>
    <t>99% t Statistic</t>
  </si>
  <si>
    <t>95% Lower Bound</t>
  </si>
  <si>
    <t>95% Upper Bound</t>
  </si>
  <si>
    <t>99% Lower Bound</t>
  </si>
  <si>
    <t>99% Upper Bound</t>
  </si>
  <si>
    <t>Sample of 8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</si>
</sst>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200" zoomScaleNormal="200" workbookViewId="0">
      <selection activeCell="B8" sqref="B8"/>
    </sheetView>
  </sheetViews>
  <sheetFormatPr defaultColWidth="8.85546875" defaultRowHeight="15"/>
  <cols>
    <col min="1" max="1" width="25" bestFit="1" customWidth="1"/>
  </cols>
  <sheetData>
    <row r="1" spans="1:2">
      <c r="A1" t="s">
        <v>0</v>
      </c>
    </row>
    <row r="2" spans="1:2">
      <c r="A2" t="s">
        <v>1</v>
      </c>
      <c r="B2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>
        <v>29.7</v>
      </c>
    </row>
    <row r="6" spans="1:2">
      <c r="A6" t="s">
        <v>5</v>
      </c>
      <c r="B6">
        <v>50</v>
      </c>
    </row>
    <row r="7" spans="1:2">
      <c r="A7" t="s">
        <v>6</v>
      </c>
      <c r="B7">
        <f>B2/SQRT(B6)</f>
        <v>0.1414213562373095</v>
      </c>
    </row>
    <row r="8" spans="1:2">
      <c r="A8" t="s">
        <v>7</v>
      </c>
      <c r="B8">
        <f>_xlfn.NORM.INV(0.975,0,1)</f>
        <v>1.9599639845400536</v>
      </c>
    </row>
    <row r="10" spans="1:2">
      <c r="A10" s="1" t="s">
        <v>8</v>
      </c>
      <c r="B10" s="2">
        <f>B5-B8*B7</f>
        <v>29.422819235130063</v>
      </c>
    </row>
    <row r="11" spans="1:2">
      <c r="A11" s="1" t="s">
        <v>9</v>
      </c>
      <c r="B11" s="2">
        <f>B5+B8*B7</f>
        <v>29.977180764869935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2E73-1233-6F4C-A45A-AB4F4102354C}">
  <dimension ref="A1:B11"/>
  <sheetViews>
    <sheetView zoomScale="200" zoomScaleNormal="200" workbookViewId="0"/>
  </sheetViews>
  <sheetFormatPr defaultColWidth="8.85546875" defaultRowHeight="15"/>
  <cols>
    <col min="1" max="1" width="25" bestFit="1" customWidth="1"/>
  </cols>
  <sheetData>
    <row r="1" spans="1:2">
      <c r="A1" t="s">
        <v>0</v>
      </c>
    </row>
    <row r="2" spans="1:2">
      <c r="A2" t="s">
        <v>1</v>
      </c>
      <c r="B2">
        <v>10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>
        <v>1812</v>
      </c>
    </row>
    <row r="6" spans="1:2">
      <c r="A6" t="s">
        <v>5</v>
      </c>
      <c r="B6">
        <v>20</v>
      </c>
    </row>
    <row r="7" spans="1:2">
      <c r="A7" t="s">
        <v>6</v>
      </c>
      <c r="B7">
        <f>B2/SQRT(B6)</f>
        <v>2.2360679774997898</v>
      </c>
    </row>
    <row r="8" spans="1:2">
      <c r="A8" t="s">
        <v>7</v>
      </c>
      <c r="B8">
        <f>_xlfn.NORM.INV(0.975,0,1)</f>
        <v>1.9599639845400536</v>
      </c>
    </row>
    <row r="10" spans="1:2">
      <c r="A10" s="1" t="s">
        <v>8</v>
      </c>
      <c r="B10" s="2">
        <f>B5-B8*B7</f>
        <v>1807.6173872971171</v>
      </c>
    </row>
    <row r="11" spans="1:2">
      <c r="A11" s="1" t="s">
        <v>9</v>
      </c>
      <c r="B11" s="2">
        <f>B5+B8*B7</f>
        <v>1816.3826127028829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2239-3461-FB4F-80DB-06D68EA63E89}">
  <dimension ref="A1:B11"/>
  <sheetViews>
    <sheetView zoomScale="200" zoomScaleNormal="200" workbookViewId="0"/>
  </sheetViews>
  <sheetFormatPr defaultColWidth="8.85546875" defaultRowHeight="15"/>
  <cols>
    <col min="1" max="1" width="25" bestFit="1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  <c r="B4">
        <v>0.8</v>
      </c>
    </row>
    <row r="5" spans="1:2">
      <c r="A5" t="s">
        <v>4</v>
      </c>
      <c r="B5">
        <v>3.8</v>
      </c>
    </row>
    <row r="6" spans="1:2">
      <c r="A6" t="s">
        <v>5</v>
      </c>
      <c r="B6">
        <v>10</v>
      </c>
    </row>
    <row r="7" spans="1:2">
      <c r="A7" t="s">
        <v>6</v>
      </c>
      <c r="B7">
        <f>B4/SQRT(B6)</f>
        <v>0.25298221281347033</v>
      </c>
    </row>
    <row r="8" spans="1:2">
      <c r="A8" t="s">
        <v>10</v>
      </c>
      <c r="B8">
        <f>_xlfn.T.INV(0.975,B6-1)</f>
        <v>2.2621571627982049</v>
      </c>
    </row>
    <row r="10" spans="1:2">
      <c r="A10" s="1" t="s">
        <v>8</v>
      </c>
      <c r="B10" s="2">
        <f>B5-B8*B7</f>
        <v>3.2277144752234683</v>
      </c>
    </row>
    <row r="11" spans="1:2">
      <c r="A11" s="1" t="s">
        <v>9</v>
      </c>
      <c r="B11" s="2">
        <f>B5+B8*B7</f>
        <v>4.3722855247765313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190" zoomScaleNormal="190" workbookViewId="0">
      <selection activeCell="D2" sqref="D2"/>
    </sheetView>
  </sheetViews>
  <sheetFormatPr defaultColWidth="8.85546875" defaultRowHeight="15"/>
  <cols>
    <col min="1" max="1" width="21.85546875" bestFit="1" customWidth="1"/>
    <col min="4" max="4" width="21" bestFit="1" customWidth="1"/>
  </cols>
  <sheetData>
    <row r="1" spans="1:4">
      <c r="A1" t="s">
        <v>2</v>
      </c>
      <c r="B1">
        <f>_xlfn.VAR.S(D2:D19)</f>
        <v>0.5878526143790852</v>
      </c>
      <c r="D1" s="6" t="s">
        <v>11</v>
      </c>
    </row>
    <row r="2" spans="1:4">
      <c r="A2" t="s">
        <v>3</v>
      </c>
      <c r="B2">
        <f>_xlfn.STDEV.S(D2:D19)</f>
        <v>0.76671547159235365</v>
      </c>
      <c r="D2" s="3">
        <v>10.85</v>
      </c>
    </row>
    <row r="3" spans="1:4">
      <c r="A3" t="s">
        <v>4</v>
      </c>
      <c r="B3">
        <f>AVERAGE(D2:D19)</f>
        <v>10.330555555555556</v>
      </c>
      <c r="D3" s="3">
        <v>11.4</v>
      </c>
    </row>
    <row r="4" spans="1:4">
      <c r="A4" t="s">
        <v>5</v>
      </c>
      <c r="B4">
        <f>COUNT(D2:D19)</f>
        <v>18</v>
      </c>
      <c r="D4" s="3">
        <v>10.81</v>
      </c>
    </row>
    <row r="5" spans="1:4">
      <c r="A5" t="s">
        <v>6</v>
      </c>
      <c r="B5">
        <f>B2/SQRT(B4)</f>
        <v>0.18071656973453168</v>
      </c>
      <c r="D5" s="3">
        <v>10.24</v>
      </c>
    </row>
    <row r="6" spans="1:4">
      <c r="A6" t="s">
        <v>10</v>
      </c>
      <c r="B6">
        <f>_xlfn.T.INV(0.975,B4-1)</f>
        <v>2.109815577833317</v>
      </c>
      <c r="D6" s="3">
        <v>10.23</v>
      </c>
    </row>
    <row r="7" spans="1:4">
      <c r="A7" t="s">
        <v>12</v>
      </c>
      <c r="B7">
        <f>_xlfn.T.INV(0.995,B4-1)</f>
        <v>2.8982305196774178</v>
      </c>
      <c r="D7" s="3">
        <v>9.49</v>
      </c>
    </row>
    <row r="8" spans="1:4">
      <c r="D8" s="3">
        <v>9.89</v>
      </c>
    </row>
    <row r="9" spans="1:4">
      <c r="A9" s="1" t="s">
        <v>13</v>
      </c>
      <c r="B9" s="2">
        <f>B3-B6*B5</f>
        <v>9.9492769215570398</v>
      </c>
      <c r="D9" s="3">
        <v>10.11</v>
      </c>
    </row>
    <row r="10" spans="1:4">
      <c r="A10" s="1" t="s">
        <v>14</v>
      </c>
      <c r="B10" s="2">
        <f>B3+B6*B5</f>
        <v>10.711834189554072</v>
      </c>
      <c r="D10" s="3">
        <v>10.57</v>
      </c>
    </row>
    <row r="11" spans="1:4">
      <c r="D11" s="3">
        <v>11.21</v>
      </c>
    </row>
    <row r="12" spans="1:4">
      <c r="A12" s="1" t="s">
        <v>15</v>
      </c>
      <c r="B12" s="2">
        <f>B3-B5*B7</f>
        <v>9.8067972777395234</v>
      </c>
      <c r="D12" s="3">
        <v>10.1</v>
      </c>
    </row>
    <row r="13" spans="1:4">
      <c r="A13" s="1" t="s">
        <v>16</v>
      </c>
      <c r="B13" s="2">
        <f>B3+B7*B5</f>
        <v>10.854313833371588</v>
      </c>
      <c r="D13" s="3">
        <v>11.22</v>
      </c>
    </row>
    <row r="14" spans="1:4">
      <c r="D14" s="3">
        <v>10.31</v>
      </c>
    </row>
    <row r="15" spans="1:4">
      <c r="D15" s="3">
        <v>11.24</v>
      </c>
    </row>
    <row r="16" spans="1:4">
      <c r="D16" s="3">
        <v>9.51</v>
      </c>
    </row>
    <row r="17" spans="4:4">
      <c r="D17" s="3">
        <v>10.52</v>
      </c>
    </row>
    <row r="18" spans="4:4">
      <c r="D18" s="3">
        <v>9.92</v>
      </c>
    </row>
    <row r="19" spans="4:4">
      <c r="D19" s="3">
        <v>8.33</v>
      </c>
    </row>
    <row r="20" spans="4:4">
      <c r="D20" s="4"/>
    </row>
    <row r="21" spans="4:4">
      <c r="D2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2C38-031E-4742-B0B5-700BC3FC3E11}">
  <dimension ref="A1:D19"/>
  <sheetViews>
    <sheetView zoomScale="190" zoomScaleNormal="190" workbookViewId="0"/>
  </sheetViews>
  <sheetFormatPr defaultColWidth="8.85546875" defaultRowHeight="15"/>
  <cols>
    <col min="1" max="1" width="21.85546875" bestFit="1" customWidth="1"/>
    <col min="4" max="4" width="21" bestFit="1" customWidth="1"/>
  </cols>
  <sheetData>
    <row r="1" spans="1:4">
      <c r="A1" t="s">
        <v>2</v>
      </c>
      <c r="B1">
        <f>_xlfn.VAR.S(D2:D9)</f>
        <v>39.839285714285715</v>
      </c>
      <c r="D1" s="6" t="s">
        <v>17</v>
      </c>
    </row>
    <row r="2" spans="1:4">
      <c r="A2" t="s">
        <v>3</v>
      </c>
      <c r="B2">
        <f>_xlfn.STDEV.S(D2:D9)</f>
        <v>6.3118369524478144</v>
      </c>
      <c r="D2" s="3">
        <v>5</v>
      </c>
    </row>
    <row r="3" spans="1:4">
      <c r="A3" t="s">
        <v>4</v>
      </c>
      <c r="B3">
        <f>AVERAGE(D2:D9)</f>
        <v>12.875</v>
      </c>
      <c r="D3" s="3">
        <v>7</v>
      </c>
    </row>
    <row r="4" spans="1:4">
      <c r="A4" t="s">
        <v>5</v>
      </c>
      <c r="B4">
        <f>COUNT(D2:D9)</f>
        <v>8</v>
      </c>
      <c r="D4" s="3">
        <v>9</v>
      </c>
    </row>
    <row r="5" spans="1:4">
      <c r="A5" t="s">
        <v>6</v>
      </c>
      <c r="B5">
        <f>B2/SQRT(B4)</f>
        <v>2.2315713554098409</v>
      </c>
      <c r="D5" s="3">
        <v>10</v>
      </c>
    </row>
    <row r="6" spans="1:4">
      <c r="A6" t="s">
        <v>10</v>
      </c>
      <c r="B6">
        <f>_xlfn.T.INV(0.975,B4-1)</f>
        <v>2.3646242515927849</v>
      </c>
      <c r="D6" s="3">
        <v>14</v>
      </c>
    </row>
    <row r="7" spans="1:4">
      <c r="D7" s="3">
        <v>23</v>
      </c>
    </row>
    <row r="8" spans="1:4">
      <c r="D8" s="3">
        <v>20</v>
      </c>
    </row>
    <row r="9" spans="1:4">
      <c r="A9" s="1" t="s">
        <v>13</v>
      </c>
      <c r="B9" s="2">
        <f>B3-B6*B5</f>
        <v>7.5981722538381087</v>
      </c>
      <c r="D9" s="3">
        <v>15</v>
      </c>
    </row>
    <row r="10" spans="1:4">
      <c r="A10" s="1" t="s">
        <v>14</v>
      </c>
      <c r="B10" s="2">
        <f>B3+B6*B5</f>
        <v>18.151827746161892</v>
      </c>
      <c r="D10" s="3"/>
    </row>
    <row r="11" spans="1:4">
      <c r="D11" s="3"/>
    </row>
    <row r="12" spans="1:4">
      <c r="D12" s="3"/>
    </row>
    <row r="13" spans="1:4">
      <c r="D13" s="3"/>
    </row>
    <row r="14" spans="1:4">
      <c r="D14" s="3"/>
    </row>
    <row r="15" spans="1:4">
      <c r="D15" s="3"/>
    </row>
    <row r="16" spans="1:4">
      <c r="D16" s="3"/>
    </row>
    <row r="17" spans="4:4">
      <c r="D17" s="3"/>
    </row>
    <row r="18" spans="4:4">
      <c r="D18" s="4"/>
    </row>
    <row r="19" spans="4:4">
      <c r="D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Manchester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Schleicher</dc:creator>
  <cp:keywords/>
  <dc:description/>
  <cp:lastModifiedBy>Gabriel Cabrera Guzman</cp:lastModifiedBy>
  <cp:revision/>
  <dcterms:created xsi:type="dcterms:W3CDTF">2018-11-22T13:23:45Z</dcterms:created>
  <dcterms:modified xsi:type="dcterms:W3CDTF">2025-11-10T14:06:34Z</dcterms:modified>
  <cp:category/>
  <cp:contentStatus/>
</cp:coreProperties>
</file>