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esktop/OneDrive-AMBS/AMBS/AMBS Teaching/2025-2026/BMAN 10750 - Quantitative Methods for A&amp;F  - Sem 1/1-Teaching Materials/WEEK 9/"/>
    </mc:Choice>
  </mc:AlternateContent>
  <xr:revisionPtr revIDLastSave="0" documentId="13_ncr:1_{6DFA7D09-CF5F-B44B-BD16-F82A60141EBE}" xr6:coauthVersionLast="47" xr6:coauthVersionMax="47" xr10:uidLastSave="{00000000-0000-0000-0000-000000000000}"/>
  <bookViews>
    <workbookView xWindow="29420" yWindow="2540" windowWidth="30500" windowHeight="23260" activeTab="3" xr2:uid="{00000000-000D-0000-FFFF-FFFF00000000}"/>
  </bookViews>
  <sheets>
    <sheet name="Ex1" sheetId="2" r:id="rId1"/>
    <sheet name="Ex2" sheetId="9" r:id="rId2"/>
    <sheet name="Ex3" sheetId="10" r:id="rId3"/>
    <sheet name="Ex4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1" l="1"/>
  <c r="B15" i="11"/>
  <c r="B10" i="11" l="1"/>
  <c r="B13" i="10"/>
  <c r="B14" i="10" s="1"/>
  <c r="B7" i="10"/>
  <c r="B5" i="10"/>
  <c r="B9" i="10" s="1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18" i="10"/>
  <c r="B9" i="11" l="1"/>
  <c r="B11" i="11" s="1"/>
  <c r="B11" i="10"/>
  <c r="G18" i="10"/>
  <c r="F18" i="10"/>
  <c r="B14" i="9"/>
  <c r="B18" i="9" s="1"/>
  <c r="B11" i="9"/>
  <c r="B10" i="9"/>
  <c r="B9" i="9" s="1"/>
  <c r="E10" i="2"/>
  <c r="E9" i="2" s="1"/>
  <c r="E11" i="2" s="1"/>
  <c r="B10" i="2"/>
  <c r="B14" i="2" s="1"/>
  <c r="B17" i="9" l="1"/>
  <c r="B15" i="9"/>
  <c r="E14" i="2"/>
  <c r="E15" i="2" s="1"/>
  <c r="B9" i="2"/>
  <c r="B11" i="2" l="1"/>
  <c r="B15" i="2" s="1"/>
</calcChain>
</file>

<file path=xl/sharedStrings.xml><?xml version="1.0" encoding="utf-8"?>
<sst xmlns="http://schemas.openxmlformats.org/spreadsheetml/2006/main" count="72" uniqueCount="33">
  <si>
    <t xml:space="preserve">t-test Critical Value </t>
  </si>
  <si>
    <t>5% Level of Significance</t>
  </si>
  <si>
    <t>1% Level of Significance</t>
  </si>
  <si>
    <t>Sample Mean Population 1</t>
  </si>
  <si>
    <t>SD Population 1</t>
  </si>
  <si>
    <t>Sample Size Population 1</t>
  </si>
  <si>
    <t>Sample Mean Population 2</t>
  </si>
  <si>
    <t>SD Population 2</t>
  </si>
  <si>
    <t>Sample Size Population 2</t>
  </si>
  <si>
    <t>Pooled Variance</t>
  </si>
  <si>
    <t>Degrees of Freedom</t>
  </si>
  <si>
    <t>t-test statistic</t>
  </si>
  <si>
    <t>Decision under t-test</t>
  </si>
  <si>
    <t>Level of Significance</t>
  </si>
  <si>
    <t>95% CI Upper Bound</t>
  </si>
  <si>
    <t>95% CI Lower Bound</t>
  </si>
  <si>
    <t>Difference</t>
  </si>
  <si>
    <t>Average</t>
  </si>
  <si>
    <t>Population Variance</t>
  </si>
  <si>
    <t>Population Standard Deviation</t>
  </si>
  <si>
    <t>Sample Variance</t>
  </si>
  <si>
    <t>Sample Standard Deviation</t>
  </si>
  <si>
    <t>Population Mean</t>
  </si>
  <si>
    <t>Sample Mean</t>
  </si>
  <si>
    <t>Sample Size</t>
  </si>
  <si>
    <t>Standard Error</t>
  </si>
  <si>
    <t>Significance Level</t>
  </si>
  <si>
    <t>Test Statistic</t>
  </si>
  <si>
    <t>Decision Under t-test</t>
  </si>
  <si>
    <t>Firm</t>
  </si>
  <si>
    <t>Less than</t>
  </si>
  <si>
    <t>Pre 2020</t>
  </si>
  <si>
    <t>Post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</si>
</sst>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9" fontId="0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zoomScale="200" zoomScaleNormal="200" workbookViewId="0">
      <selection activeCell="B15" sqref="A1:B15"/>
    </sheetView>
  </sheetViews>
  <sheetFormatPr baseColWidth="10" defaultColWidth="8.83203125" defaultRowHeight="15" x14ac:dyDescent="0.2"/>
  <cols>
    <col min="1" max="1" width="25" bestFit="1" customWidth="1"/>
    <col min="2" max="2" width="12.6640625" bestFit="1" customWidth="1"/>
    <col min="4" max="4" width="21.6640625" bestFit="1" customWidth="1"/>
    <col min="5" max="5" width="11.33203125" bestFit="1" customWidth="1"/>
  </cols>
  <sheetData>
    <row r="1" spans="1:5" x14ac:dyDescent="0.2">
      <c r="A1" s="12" t="s">
        <v>1</v>
      </c>
      <c r="B1" s="12"/>
      <c r="D1" s="12" t="s">
        <v>2</v>
      </c>
      <c r="E1" s="12"/>
    </row>
    <row r="2" spans="1:5" x14ac:dyDescent="0.2">
      <c r="A2" t="s">
        <v>3</v>
      </c>
      <c r="B2" s="2">
        <v>8</v>
      </c>
      <c r="D2" t="s">
        <v>3</v>
      </c>
      <c r="E2" s="2">
        <v>8</v>
      </c>
    </row>
    <row r="3" spans="1:5" x14ac:dyDescent="0.2">
      <c r="A3" t="s">
        <v>4</v>
      </c>
      <c r="B3" s="2">
        <v>2</v>
      </c>
      <c r="D3" t="s">
        <v>4</v>
      </c>
      <c r="E3" s="2">
        <v>2</v>
      </c>
    </row>
    <row r="4" spans="1:5" x14ac:dyDescent="0.2">
      <c r="A4" t="s">
        <v>5</v>
      </c>
      <c r="B4" s="2">
        <v>12</v>
      </c>
      <c r="D4" t="s">
        <v>5</v>
      </c>
      <c r="E4" s="2">
        <v>12</v>
      </c>
    </row>
    <row r="5" spans="1:5" x14ac:dyDescent="0.2">
      <c r="A5" t="s">
        <v>6</v>
      </c>
      <c r="B5" s="2">
        <v>10</v>
      </c>
      <c r="D5" t="s">
        <v>6</v>
      </c>
      <c r="E5" s="2">
        <v>10</v>
      </c>
    </row>
    <row r="6" spans="1:5" x14ac:dyDescent="0.2">
      <c r="A6" t="s">
        <v>7</v>
      </c>
      <c r="B6" s="2">
        <v>4</v>
      </c>
      <c r="D6" t="s">
        <v>7</v>
      </c>
      <c r="E6" s="2">
        <v>4</v>
      </c>
    </row>
    <row r="7" spans="1:5" x14ac:dyDescent="0.2">
      <c r="A7" t="s">
        <v>8</v>
      </c>
      <c r="B7" s="2">
        <v>12</v>
      </c>
      <c r="D7" t="s">
        <v>8</v>
      </c>
      <c r="E7" s="2">
        <v>12</v>
      </c>
    </row>
    <row r="8" spans="1:5" x14ac:dyDescent="0.2">
      <c r="B8" s="2"/>
      <c r="E8" s="2"/>
    </row>
    <row r="9" spans="1:5" x14ac:dyDescent="0.2">
      <c r="A9" s="1" t="s">
        <v>9</v>
      </c>
      <c r="B9" s="7">
        <f>(((B4-1)*B3^2)+((B7-1)*B6^2))/B10</f>
        <v>10</v>
      </c>
      <c r="D9" s="1" t="s">
        <v>9</v>
      </c>
      <c r="E9" s="7">
        <f>(((E4-1)*E3^2)+((E7-1)*E6^2))/E10</f>
        <v>10</v>
      </c>
    </row>
    <row r="10" spans="1:5" x14ac:dyDescent="0.2">
      <c r="A10" s="1" t="s">
        <v>10</v>
      </c>
      <c r="B10" s="7">
        <f>B4+B7-2</f>
        <v>22</v>
      </c>
      <c r="D10" s="1" t="s">
        <v>10</v>
      </c>
      <c r="E10" s="7">
        <f>E4+E7-2</f>
        <v>22</v>
      </c>
    </row>
    <row r="11" spans="1:5" x14ac:dyDescent="0.2">
      <c r="A11" s="1" t="s">
        <v>11</v>
      </c>
      <c r="B11" s="8">
        <f>(B2-B5)/SQRT(B9*(1/B4+1/B7))</f>
        <v>-1.5491933384829668</v>
      </c>
      <c r="D11" s="1" t="s">
        <v>11</v>
      </c>
      <c r="E11" s="8">
        <f>(E2-E5)/SQRT(E9*(1/E4+1/E7))</f>
        <v>-1.5491933384829668</v>
      </c>
    </row>
    <row r="12" spans="1:5" x14ac:dyDescent="0.2">
      <c r="B12" s="9"/>
      <c r="E12" s="9"/>
    </row>
    <row r="13" spans="1:5" x14ac:dyDescent="0.2">
      <c r="A13" t="s">
        <v>13</v>
      </c>
      <c r="B13" s="9">
        <v>0.05</v>
      </c>
      <c r="C13" s="5"/>
      <c r="D13" t="s">
        <v>13</v>
      </c>
      <c r="E13" s="9">
        <v>0.01</v>
      </c>
    </row>
    <row r="14" spans="1:5" x14ac:dyDescent="0.2">
      <c r="A14" s="1" t="s">
        <v>0</v>
      </c>
      <c r="B14" s="10">
        <f>_xlfn.T.INV(1-B13,B10)</f>
        <v>1.7171443743802424</v>
      </c>
      <c r="D14" s="1" t="s">
        <v>0</v>
      </c>
      <c r="E14" s="10">
        <f>_xlfn.T.INV(1-E13,E10)</f>
        <v>2.5083245528990799</v>
      </c>
    </row>
    <row r="15" spans="1:5" x14ac:dyDescent="0.2">
      <c r="A15" s="1" t="s">
        <v>12</v>
      </c>
      <c r="B15" s="4" t="str">
        <f>IF(ABS(B11)&gt;B14,"REJECT","FAIL to Reject")</f>
        <v>FAIL to Reject</v>
      </c>
      <c r="D15" s="1" t="s">
        <v>12</v>
      </c>
      <c r="E15" s="4" t="str">
        <f>IF(ABS(E11)&gt;E14,"REJECT","FAIL to Reject")</f>
        <v>FAIL to Reject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511D-25CD-6E4E-82BC-AA68980E2FD4}">
  <dimension ref="A1:C18"/>
  <sheetViews>
    <sheetView zoomScale="200" zoomScaleNormal="200" workbookViewId="0">
      <selection sqref="A1:B1"/>
    </sheetView>
  </sheetViews>
  <sheetFormatPr baseColWidth="10" defaultColWidth="8.83203125" defaultRowHeight="15" x14ac:dyDescent="0.2"/>
  <cols>
    <col min="1" max="1" width="25" bestFit="1" customWidth="1"/>
    <col min="2" max="2" width="12.6640625" bestFit="1" customWidth="1"/>
  </cols>
  <sheetData>
    <row r="1" spans="1:3" x14ac:dyDescent="0.2">
      <c r="A1" s="12" t="s">
        <v>1</v>
      </c>
      <c r="B1" s="12"/>
    </row>
    <row r="2" spans="1:3" x14ac:dyDescent="0.2">
      <c r="A2" t="s">
        <v>3</v>
      </c>
      <c r="B2" s="2">
        <v>50</v>
      </c>
    </row>
    <row r="3" spans="1:3" x14ac:dyDescent="0.2">
      <c r="A3" t="s">
        <v>4</v>
      </c>
      <c r="B3" s="2">
        <v>15</v>
      </c>
    </row>
    <row r="4" spans="1:3" x14ac:dyDescent="0.2">
      <c r="A4" t="s">
        <v>5</v>
      </c>
      <c r="B4" s="2">
        <v>12</v>
      </c>
    </row>
    <row r="5" spans="1:3" x14ac:dyDescent="0.2">
      <c r="A5" t="s">
        <v>6</v>
      </c>
      <c r="B5" s="2">
        <v>60</v>
      </c>
    </row>
    <row r="6" spans="1:3" x14ac:dyDescent="0.2">
      <c r="A6" t="s">
        <v>7</v>
      </c>
      <c r="B6" s="2">
        <v>5</v>
      </c>
    </row>
    <row r="7" spans="1:3" x14ac:dyDescent="0.2">
      <c r="A7" t="s">
        <v>8</v>
      </c>
      <c r="B7" s="2">
        <v>12</v>
      </c>
    </row>
    <row r="8" spans="1:3" x14ac:dyDescent="0.2">
      <c r="B8" s="2"/>
    </row>
    <row r="9" spans="1:3" x14ac:dyDescent="0.2">
      <c r="A9" s="1" t="s">
        <v>9</v>
      </c>
      <c r="B9" s="7">
        <f>(((B4-1)*B3^2)+((B7-1)*B6^2))/B10</f>
        <v>125</v>
      </c>
    </row>
    <row r="10" spans="1:3" x14ac:dyDescent="0.2">
      <c r="A10" s="1" t="s">
        <v>10</v>
      </c>
      <c r="B10" s="7">
        <f>B4+B7-2</f>
        <v>22</v>
      </c>
    </row>
    <row r="11" spans="1:3" x14ac:dyDescent="0.2">
      <c r="A11" s="1" t="s">
        <v>11</v>
      </c>
      <c r="B11" s="8">
        <f>(B2-B5)/SQRT(B9*(1/B4+1/B7))</f>
        <v>-2.1908902300206643</v>
      </c>
    </row>
    <row r="12" spans="1:3" x14ac:dyDescent="0.2">
      <c r="B12" s="9"/>
    </row>
    <row r="13" spans="1:3" x14ac:dyDescent="0.2">
      <c r="A13" t="s">
        <v>13</v>
      </c>
      <c r="B13" s="9">
        <v>0.05</v>
      </c>
      <c r="C13" s="5"/>
    </row>
    <row r="14" spans="1:3" x14ac:dyDescent="0.2">
      <c r="A14" s="1" t="s">
        <v>0</v>
      </c>
      <c r="B14" s="10">
        <f>_xlfn.T.INV(1-B13/2,B10)</f>
        <v>2.0738730679040249</v>
      </c>
    </row>
    <row r="15" spans="1:3" x14ac:dyDescent="0.2">
      <c r="A15" s="1" t="s">
        <v>12</v>
      </c>
      <c r="B15" s="4" t="str">
        <f>IF(ABS(B11)&gt;B14,"REJECT","FAIL to Reject")</f>
        <v>REJECT</v>
      </c>
    </row>
    <row r="17" spans="1:2" x14ac:dyDescent="0.2">
      <c r="A17" t="s">
        <v>15</v>
      </c>
      <c r="B17" s="3">
        <f>(B2-B5)-B14*SQRT(B9*(1/B4+1/B7))</f>
        <v>-19.465892172445646</v>
      </c>
    </row>
    <row r="18" spans="1:2" x14ac:dyDescent="0.2">
      <c r="A18" t="s">
        <v>14</v>
      </c>
      <c r="B18" s="3">
        <f>(B2-B5)+B14*SQRT(B9*(1/B4+1/B7))</f>
        <v>-0.53410782755435449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1304-629A-8B43-A1FA-B0C97F5F44F9}">
  <dimension ref="A1:H18"/>
  <sheetViews>
    <sheetView zoomScale="200" zoomScaleNormal="200" workbookViewId="0">
      <selection activeCell="B14" sqref="B14"/>
    </sheetView>
  </sheetViews>
  <sheetFormatPr baseColWidth="10" defaultRowHeight="15" x14ac:dyDescent="0.2"/>
  <cols>
    <col min="1" max="1" width="24.83203125" bestFit="1" customWidth="1"/>
  </cols>
  <sheetData>
    <row r="1" spans="1:8" x14ac:dyDescent="0.2">
      <c r="A1" s="12" t="s">
        <v>30</v>
      </c>
      <c r="B1" s="12"/>
    </row>
    <row r="2" spans="1:8" x14ac:dyDescent="0.2">
      <c r="A2" t="s">
        <v>18</v>
      </c>
      <c r="B2" s="2"/>
      <c r="E2" s="6" t="s">
        <v>29</v>
      </c>
      <c r="F2" s="6" t="s">
        <v>31</v>
      </c>
      <c r="G2" s="6" t="s">
        <v>32</v>
      </c>
      <c r="H2" s="6" t="s">
        <v>16</v>
      </c>
    </row>
    <row r="3" spans="1:8" x14ac:dyDescent="0.2">
      <c r="A3" t="s">
        <v>19</v>
      </c>
      <c r="E3" s="2">
        <v>1</v>
      </c>
      <c r="F3" s="2">
        <v>3</v>
      </c>
      <c r="G3" s="2">
        <v>1</v>
      </c>
      <c r="H3" s="2">
        <f>G3-F3</f>
        <v>-2</v>
      </c>
    </row>
    <row r="4" spans="1:8" x14ac:dyDescent="0.2">
      <c r="A4" t="s">
        <v>20</v>
      </c>
      <c r="E4" s="2">
        <v>2</v>
      </c>
      <c r="F4" s="2">
        <v>5</v>
      </c>
      <c r="G4" s="2">
        <v>6</v>
      </c>
      <c r="H4" s="2">
        <f t="shared" ref="H4:H17" si="0">G4-F4</f>
        <v>1</v>
      </c>
    </row>
    <row r="5" spans="1:8" x14ac:dyDescent="0.2">
      <c r="A5" t="s">
        <v>21</v>
      </c>
      <c r="B5" s="10">
        <f>_xlfn.STDEV.S(H3:H17)</f>
        <v>2.9032002047002252</v>
      </c>
      <c r="E5" s="2">
        <v>3</v>
      </c>
      <c r="F5" s="2">
        <v>4</v>
      </c>
      <c r="G5" s="2">
        <v>3</v>
      </c>
      <c r="H5" s="2">
        <f t="shared" si="0"/>
        <v>-1</v>
      </c>
    </row>
    <row r="6" spans="1:8" x14ac:dyDescent="0.2">
      <c r="A6" t="s">
        <v>22</v>
      </c>
      <c r="B6" s="2">
        <v>0</v>
      </c>
      <c r="E6" s="2">
        <v>4</v>
      </c>
      <c r="F6" s="2">
        <v>1</v>
      </c>
      <c r="G6" s="2">
        <v>2</v>
      </c>
      <c r="H6" s="2">
        <f t="shared" si="0"/>
        <v>1</v>
      </c>
    </row>
    <row r="7" spans="1:8" x14ac:dyDescent="0.2">
      <c r="A7" t="s">
        <v>23</v>
      </c>
      <c r="B7" s="2">
        <f>H18</f>
        <v>-2</v>
      </c>
      <c r="E7" s="2">
        <v>5</v>
      </c>
      <c r="F7" s="2">
        <v>4</v>
      </c>
      <c r="G7" s="2">
        <v>7</v>
      </c>
      <c r="H7" s="2">
        <f t="shared" si="0"/>
        <v>3</v>
      </c>
    </row>
    <row r="8" spans="1:8" x14ac:dyDescent="0.2">
      <c r="A8" t="s">
        <v>24</v>
      </c>
      <c r="B8" s="2">
        <v>15</v>
      </c>
      <c r="E8" s="2">
        <v>6</v>
      </c>
      <c r="F8" s="2">
        <v>8</v>
      </c>
      <c r="G8" s="2">
        <v>3</v>
      </c>
      <c r="H8" s="2">
        <f t="shared" si="0"/>
        <v>-5</v>
      </c>
    </row>
    <row r="9" spans="1:8" x14ac:dyDescent="0.2">
      <c r="A9" t="s">
        <v>25</v>
      </c>
      <c r="B9" s="4">
        <f>B5/SQRT(B8)</f>
        <v>0.74960306956732903</v>
      </c>
      <c r="E9" s="2">
        <v>7</v>
      </c>
      <c r="F9" s="2">
        <v>10</v>
      </c>
      <c r="G9" s="2">
        <v>5</v>
      </c>
      <c r="H9" s="2">
        <f t="shared" si="0"/>
        <v>-5</v>
      </c>
    </row>
    <row r="10" spans="1:8" x14ac:dyDescent="0.2">
      <c r="A10" t="s">
        <v>26</v>
      </c>
      <c r="B10" s="9">
        <v>0.01</v>
      </c>
      <c r="E10" s="2">
        <v>8</v>
      </c>
      <c r="F10" s="2">
        <v>15</v>
      </c>
      <c r="G10" s="2">
        <v>8</v>
      </c>
      <c r="H10" s="2">
        <f t="shared" si="0"/>
        <v>-7</v>
      </c>
    </row>
    <row r="11" spans="1:8" x14ac:dyDescent="0.2">
      <c r="A11" t="s">
        <v>27</v>
      </c>
      <c r="B11" s="11">
        <f>(B7-B6)/B9</f>
        <v>-2.668078722188798</v>
      </c>
      <c r="E11" s="2">
        <v>9</v>
      </c>
      <c r="F11" s="2">
        <v>2</v>
      </c>
      <c r="G11" s="2">
        <v>4</v>
      </c>
      <c r="H11" s="2">
        <f t="shared" si="0"/>
        <v>2</v>
      </c>
    </row>
    <row r="12" spans="1:8" x14ac:dyDescent="0.2">
      <c r="B12" s="9"/>
      <c r="E12" s="2">
        <v>10</v>
      </c>
      <c r="F12" s="2">
        <v>9</v>
      </c>
      <c r="G12" s="2">
        <v>7</v>
      </c>
      <c r="H12" s="2">
        <f t="shared" si="0"/>
        <v>-2</v>
      </c>
    </row>
    <row r="13" spans="1:8" x14ac:dyDescent="0.2">
      <c r="A13" s="1" t="s">
        <v>0</v>
      </c>
      <c r="B13" s="4">
        <f>_xlfn.T.INV(B10,B8-1)</f>
        <v>-2.6244940675900517</v>
      </c>
      <c r="E13" s="2">
        <v>11</v>
      </c>
      <c r="F13" s="2">
        <v>6</v>
      </c>
      <c r="G13" s="2">
        <v>4</v>
      </c>
      <c r="H13" s="2">
        <f t="shared" si="0"/>
        <v>-2</v>
      </c>
    </row>
    <row r="14" spans="1:8" x14ac:dyDescent="0.2">
      <c r="A14" s="1" t="s">
        <v>28</v>
      </c>
      <c r="B14" s="4" t="str">
        <f>IF(B11&lt;B13,"REJECT","FAIL to Reject")</f>
        <v>REJECT</v>
      </c>
      <c r="E14" s="2">
        <v>12</v>
      </c>
      <c r="F14" s="2">
        <v>3</v>
      </c>
      <c r="G14" s="2">
        <v>2</v>
      </c>
      <c r="H14" s="2">
        <f t="shared" si="0"/>
        <v>-1</v>
      </c>
    </row>
    <row r="15" spans="1:8" x14ac:dyDescent="0.2">
      <c r="E15" s="2">
        <v>13</v>
      </c>
      <c r="F15" s="2">
        <v>8</v>
      </c>
      <c r="G15" s="2">
        <v>5</v>
      </c>
      <c r="H15" s="2">
        <f t="shared" si="0"/>
        <v>-3</v>
      </c>
    </row>
    <row r="16" spans="1:8" x14ac:dyDescent="0.2">
      <c r="B16" s="2"/>
      <c r="E16" s="2">
        <v>14</v>
      </c>
      <c r="F16" s="2">
        <v>11</v>
      </c>
      <c r="G16" s="2">
        <v>7</v>
      </c>
      <c r="H16" s="2">
        <f t="shared" si="0"/>
        <v>-4</v>
      </c>
    </row>
    <row r="17" spans="5:8" x14ac:dyDescent="0.2">
      <c r="E17" s="2">
        <v>15</v>
      </c>
      <c r="F17" s="2">
        <v>10</v>
      </c>
      <c r="G17" s="2">
        <v>5</v>
      </c>
      <c r="H17" s="2">
        <f t="shared" si="0"/>
        <v>-5</v>
      </c>
    </row>
    <row r="18" spans="5:8" x14ac:dyDescent="0.2">
      <c r="E18" s="6" t="s">
        <v>17</v>
      </c>
      <c r="F18" s="6">
        <f>AVERAGE(F3:F17)</f>
        <v>6.6</v>
      </c>
      <c r="G18" s="6">
        <f t="shared" ref="G18" si="1">AVERAGE(G3:G17)</f>
        <v>4.5999999999999996</v>
      </c>
      <c r="H18" s="6">
        <f>AVERAGE(H3:H17)</f>
        <v>-2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0840-2A6D-C748-91FA-8A0BFF0CE6F0}">
  <dimension ref="A1:B15"/>
  <sheetViews>
    <sheetView tabSelected="1" zoomScale="200" zoomScaleNormal="200" workbookViewId="0">
      <selection sqref="A1:B1"/>
    </sheetView>
  </sheetViews>
  <sheetFormatPr baseColWidth="10" defaultRowHeight="15" x14ac:dyDescent="0.2"/>
  <cols>
    <col min="1" max="1" width="21.6640625" bestFit="1" customWidth="1"/>
  </cols>
  <sheetData>
    <row r="1" spans="1:2" x14ac:dyDescent="0.2">
      <c r="A1" s="12" t="s">
        <v>1</v>
      </c>
      <c r="B1" s="12"/>
    </row>
    <row r="2" spans="1:2" x14ac:dyDescent="0.2">
      <c r="A2" t="s">
        <v>3</v>
      </c>
      <c r="B2" s="2">
        <v>6</v>
      </c>
    </row>
    <row r="3" spans="1:2" x14ac:dyDescent="0.2">
      <c r="A3" t="s">
        <v>4</v>
      </c>
      <c r="B3" s="2">
        <v>2</v>
      </c>
    </row>
    <row r="4" spans="1:2" x14ac:dyDescent="0.2">
      <c r="A4" t="s">
        <v>5</v>
      </c>
      <c r="B4" s="2">
        <v>1000</v>
      </c>
    </row>
    <row r="5" spans="1:2" x14ac:dyDescent="0.2">
      <c r="A5" t="s">
        <v>6</v>
      </c>
      <c r="B5" s="2">
        <v>6.1</v>
      </c>
    </row>
    <row r="6" spans="1:2" x14ac:dyDescent="0.2">
      <c r="A6" t="s">
        <v>7</v>
      </c>
      <c r="B6" s="2">
        <v>1</v>
      </c>
    </row>
    <row r="7" spans="1:2" x14ac:dyDescent="0.2">
      <c r="A7" t="s">
        <v>8</v>
      </c>
      <c r="B7" s="2">
        <v>1000</v>
      </c>
    </row>
    <row r="8" spans="1:2" x14ac:dyDescent="0.2">
      <c r="B8" s="2"/>
    </row>
    <row r="9" spans="1:2" x14ac:dyDescent="0.2">
      <c r="A9" s="1" t="s">
        <v>9</v>
      </c>
      <c r="B9" s="7">
        <f>(((B4-1)*B3^2)+((B7-1)*B6^2))/B10</f>
        <v>2.5</v>
      </c>
    </row>
    <row r="10" spans="1:2" x14ac:dyDescent="0.2">
      <c r="A10" s="1" t="s">
        <v>10</v>
      </c>
      <c r="B10" s="7">
        <f>B4+B7-2</f>
        <v>1998</v>
      </c>
    </row>
    <row r="11" spans="1:2" x14ac:dyDescent="0.2">
      <c r="A11" s="1" t="s">
        <v>11</v>
      </c>
      <c r="B11" s="8">
        <f>(B2-B5)/SQRT(B9*(1/B4+1/B7))</f>
        <v>-1.41421356237309</v>
      </c>
    </row>
    <row r="12" spans="1:2" x14ac:dyDescent="0.2">
      <c r="B12" s="9"/>
    </row>
    <row r="13" spans="1:2" x14ac:dyDescent="0.2">
      <c r="A13" t="s">
        <v>13</v>
      </c>
      <c r="B13" s="9">
        <v>0.05</v>
      </c>
    </row>
    <row r="14" spans="1:2" x14ac:dyDescent="0.2">
      <c r="A14" s="1" t="s">
        <v>0</v>
      </c>
      <c r="B14" s="10">
        <f>-_xlfn.NORM.INV(B13/2,0,1)</f>
        <v>1.9599639845400538</v>
      </c>
    </row>
    <row r="15" spans="1:2" x14ac:dyDescent="0.2">
      <c r="A15" s="1" t="s">
        <v>12</v>
      </c>
      <c r="B15" s="4" t="str">
        <f>IF(ABS(B11)&gt;B14,"REJECT","FAIL to Reject")</f>
        <v>FAIL to Reject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Ex1</vt:lpstr>
      <vt:lpstr>Ex2</vt:lpstr>
      <vt:lpstr>Ex3</vt:lpstr>
      <vt:lpstr>Ex4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Schleicher</dc:creator>
  <cp:lastModifiedBy>Sumair Hussain</cp:lastModifiedBy>
  <dcterms:created xsi:type="dcterms:W3CDTF">2018-11-22T13:23:45Z</dcterms:created>
  <dcterms:modified xsi:type="dcterms:W3CDTF">2025-11-24T18:37:28Z</dcterms:modified>
</cp:coreProperties>
</file>