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OneDrive-AMBS/AMBS/AMBS Teaching/2025-2026/BMAN 10750 - Quantitative Methods for A&amp;F  - Sem 1/1-Teaching Materials/WEEK 10/"/>
    </mc:Choice>
  </mc:AlternateContent>
  <xr:revisionPtr revIDLastSave="0" documentId="13_ncr:1_{ED0BCF83-B8D5-9D4D-BBF0-4683710DEDB0}" xr6:coauthVersionLast="47" xr6:coauthVersionMax="47" xr10:uidLastSave="{00000000-0000-0000-0000-000000000000}"/>
  <bookViews>
    <workbookView xWindow="0" yWindow="740" windowWidth="30240" windowHeight="18900" activeTab="1" xr2:uid="{3DFF57CB-4BD4-E149-9506-F2B2464584BA}"/>
  </bookViews>
  <sheets>
    <sheet name="Ex2" sheetId="3" r:id="rId1"/>
    <sheet name="Ex3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" l="1"/>
  <c r="G17" i="5"/>
  <c r="G16" i="5"/>
  <c r="G15" i="5"/>
  <c r="G14" i="5"/>
  <c r="G13" i="5"/>
  <c r="G12" i="5"/>
  <c r="G11" i="5"/>
  <c r="G10" i="5"/>
  <c r="F18" i="5"/>
  <c r="F17" i="5"/>
  <c r="F16" i="5"/>
  <c r="F15" i="5"/>
  <c r="F14" i="5"/>
  <c r="F13" i="5"/>
  <c r="F12" i="5"/>
  <c r="F11" i="5"/>
  <c r="F10" i="5"/>
  <c r="E18" i="5"/>
  <c r="E17" i="5"/>
  <c r="E16" i="5"/>
  <c r="E15" i="5"/>
  <c r="E14" i="5"/>
  <c r="E13" i="5"/>
  <c r="E12" i="5"/>
  <c r="E11" i="5"/>
  <c r="E10" i="5"/>
  <c r="D18" i="5"/>
  <c r="D17" i="5"/>
  <c r="D16" i="5"/>
  <c r="D15" i="5"/>
  <c r="D14" i="5"/>
  <c r="D13" i="5"/>
  <c r="D12" i="5"/>
  <c r="D11" i="5"/>
  <c r="D10" i="5"/>
  <c r="C24" i="5"/>
  <c r="C23" i="5"/>
  <c r="C22" i="5"/>
  <c r="C19" i="5"/>
  <c r="E7" i="5" s="1"/>
  <c r="G7" i="5" s="1"/>
  <c r="B19" i="5"/>
  <c r="D7" i="5" s="1"/>
  <c r="C21" i="3"/>
  <c r="D10" i="3"/>
  <c r="D9" i="3"/>
  <c r="D8" i="3"/>
  <c r="D7" i="3"/>
  <c r="D6" i="3"/>
  <c r="D5" i="3"/>
  <c r="D4" i="3"/>
  <c r="C11" i="3"/>
  <c r="E8" i="3" s="1"/>
  <c r="G8" i="3" s="1"/>
  <c r="B11" i="3"/>
  <c r="C16" i="3"/>
  <c r="C15" i="3"/>
  <c r="C14" i="3"/>
  <c r="C25" i="5" l="1"/>
  <c r="C29" i="5" s="1"/>
  <c r="D4" i="5"/>
  <c r="E4" i="5"/>
  <c r="G4" i="5" s="1"/>
  <c r="F4" i="5"/>
  <c r="D9" i="5"/>
  <c r="F7" i="5"/>
  <c r="E8" i="5"/>
  <c r="G8" i="5" s="1"/>
  <c r="E9" i="5"/>
  <c r="G9" i="5" s="1"/>
  <c r="D6" i="5"/>
  <c r="E6" i="5"/>
  <c r="G6" i="5" s="1"/>
  <c r="D5" i="5"/>
  <c r="E5" i="5"/>
  <c r="D8" i="5"/>
  <c r="E4" i="3"/>
  <c r="G4" i="3" s="1"/>
  <c r="E6" i="3"/>
  <c r="G6" i="3" s="1"/>
  <c r="E9" i="3"/>
  <c r="G9" i="3" s="1"/>
  <c r="E10" i="3"/>
  <c r="G10" i="3" s="1"/>
  <c r="E7" i="3"/>
  <c r="G7" i="3" s="1"/>
  <c r="C17" i="3"/>
  <c r="F6" i="3"/>
  <c r="E5" i="3"/>
  <c r="F8" i="3"/>
  <c r="F9" i="5" l="1"/>
  <c r="G5" i="5"/>
  <c r="G19" i="5" s="1"/>
  <c r="E19" i="5"/>
  <c r="F5" i="5"/>
  <c r="F6" i="5"/>
  <c r="F8" i="5"/>
  <c r="D19" i="5"/>
  <c r="F4" i="3"/>
  <c r="F9" i="3"/>
  <c r="E11" i="3"/>
  <c r="D11" i="3"/>
  <c r="F10" i="3"/>
  <c r="F7" i="3"/>
  <c r="G5" i="3"/>
  <c r="G11" i="3" s="1"/>
  <c r="F5" i="3"/>
  <c r="F19" i="5" l="1"/>
  <c r="C27" i="5" s="1"/>
  <c r="C28" i="5" s="1"/>
  <c r="F11" i="3"/>
  <c r="C19" i="3" s="1"/>
  <c r="C20" i="3" s="1"/>
</calcChain>
</file>

<file path=xl/sharedStrings.xml><?xml version="1.0" encoding="utf-8"?>
<sst xmlns="http://schemas.openxmlformats.org/spreadsheetml/2006/main" count="24" uniqueCount="12">
  <si>
    <t>xi-x</t>
  </si>
  <si>
    <t>yi-y</t>
  </si>
  <si>
    <t>(xi-x)^2</t>
  </si>
  <si>
    <t>Y</t>
  </si>
  <si>
    <t>X</t>
  </si>
  <si>
    <t>SD (X)</t>
  </si>
  <si>
    <t>SD (Y)</t>
  </si>
  <si>
    <t>Cov(X,Y)</t>
  </si>
  <si>
    <t>Slope Coefficient</t>
  </si>
  <si>
    <t>Corr(X,Y)</t>
  </si>
  <si>
    <t>R2</t>
  </si>
  <si>
    <t xml:space="preserve">Intercept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</si>
</sst>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1" fillId="2" borderId="0" xfId="0" applyFont="1" applyFill="1"/>
    <xf numFmtId="2" fontId="1" fillId="2" borderId="0" xfId="0" applyNumberFormat="1" applyFont="1" applyFill="1"/>
    <xf numFmtId="0" fontId="1" fillId="0" borderId="0" xfId="0" applyFont="1" applyBorder="1"/>
    <xf numFmtId="0" fontId="2" fillId="0" borderId="0" xfId="0" applyFont="1" applyBorder="1" applyAlignment="1">
      <alignment horizontal="center" vertical="top" wrapText="1" readingOrder="1"/>
    </xf>
    <xf numFmtId="2" fontId="2" fillId="0" borderId="0" xfId="0" applyNumberFormat="1" applyFont="1" applyBorder="1" applyAlignment="1">
      <alignment horizontal="center" vertical="center" readingOrder="1"/>
    </xf>
    <xf numFmtId="2" fontId="4" fillId="0" borderId="0" xfId="0" applyNumberFormat="1" applyFont="1" applyBorder="1" applyAlignment="1">
      <alignment horizontal="center" vertical="center" readingOrder="1"/>
    </xf>
    <xf numFmtId="2" fontId="1" fillId="0" borderId="0" xfId="0" applyNumberFormat="1" applyFont="1" applyBorder="1"/>
    <xf numFmtId="0" fontId="1" fillId="2" borderId="0" xfId="0" applyFont="1" applyFill="1" applyBorder="1"/>
    <xf numFmtId="2" fontId="1" fillId="2" borderId="0" xfId="0" applyNumberFormat="1" applyFont="1" applyFill="1" applyBorder="1"/>
    <xf numFmtId="164" fontId="1" fillId="0" borderId="0" xfId="0" applyNumberFormat="1" applyFont="1" applyBorder="1"/>
    <xf numFmtId="0" fontId="3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top" wrapText="1" readingOrder="1"/>
    </xf>
    <xf numFmtId="2" fontId="2" fillId="0" borderId="1" xfId="0" applyNumberFormat="1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13D5-00B9-0D43-BE64-FAD639EF0036}">
  <dimension ref="B3:G22"/>
  <sheetViews>
    <sheetView zoomScale="150" zoomScaleNormal="150" workbookViewId="0"/>
  </sheetViews>
  <sheetFormatPr baseColWidth="10" defaultRowHeight="16" x14ac:dyDescent="0.2"/>
  <cols>
    <col min="1" max="1" width="10.83203125" style="6"/>
    <col min="2" max="3" width="15.1640625" style="6" customWidth="1"/>
    <col min="4" max="4" width="15" style="6" bestFit="1" customWidth="1"/>
    <col min="5" max="5" width="12.33203125" style="6" bestFit="1" customWidth="1"/>
    <col min="6" max="6" width="13.6640625" style="6" bestFit="1" customWidth="1"/>
    <col min="7" max="7" width="17.5" style="6" bestFit="1" customWidth="1"/>
    <col min="8" max="16384" width="10.83203125" style="6"/>
  </cols>
  <sheetData>
    <row r="3" spans="2:7" ht="17" thickBot="1" x14ac:dyDescent="0.25">
      <c r="B3" s="14" t="s">
        <v>3</v>
      </c>
      <c r="C3" s="14" t="s">
        <v>4</v>
      </c>
      <c r="D3" s="14" t="s">
        <v>1</v>
      </c>
      <c r="E3" s="14" t="s">
        <v>0</v>
      </c>
      <c r="F3" s="14"/>
      <c r="G3" s="14" t="s">
        <v>2</v>
      </c>
    </row>
    <row r="4" spans="2:7" x14ac:dyDescent="0.2">
      <c r="B4" s="7">
        <v>2</v>
      </c>
      <c r="C4" s="7">
        <v>1</v>
      </c>
      <c r="D4" s="8">
        <f>B4-$B$11</f>
        <v>-34.285714285714285</v>
      </c>
      <c r="E4" s="8">
        <f t="shared" ref="E4:E10" si="0">C4-$C$11</f>
        <v>-3</v>
      </c>
      <c r="F4" s="8">
        <f>D4*E4</f>
        <v>102.85714285714286</v>
      </c>
      <c r="G4" s="8">
        <f t="shared" ref="G4:G10" si="1">E4^2</f>
        <v>9</v>
      </c>
    </row>
    <row r="5" spans="2:7" x14ac:dyDescent="0.2">
      <c r="B5" s="7">
        <v>4</v>
      </c>
      <c r="C5" s="7">
        <v>2</v>
      </c>
      <c r="D5" s="8">
        <f>B5-$B$11</f>
        <v>-32.285714285714285</v>
      </c>
      <c r="E5" s="8">
        <f t="shared" si="0"/>
        <v>-2</v>
      </c>
      <c r="F5" s="8">
        <f t="shared" ref="F5:F10" si="2">D5*E5</f>
        <v>64.571428571428569</v>
      </c>
      <c r="G5" s="8">
        <f t="shared" si="1"/>
        <v>4</v>
      </c>
    </row>
    <row r="6" spans="2:7" x14ac:dyDescent="0.2">
      <c r="B6" s="7">
        <v>8</v>
      </c>
      <c r="C6" s="7">
        <v>3</v>
      </c>
      <c r="D6" s="8">
        <f>B6-$B$11</f>
        <v>-28.285714285714285</v>
      </c>
      <c r="E6" s="8">
        <f t="shared" si="0"/>
        <v>-1</v>
      </c>
      <c r="F6" s="8">
        <f t="shared" si="2"/>
        <v>28.285714285714285</v>
      </c>
      <c r="G6" s="8">
        <f t="shared" si="1"/>
        <v>1</v>
      </c>
    </row>
    <row r="7" spans="2:7" x14ac:dyDescent="0.2">
      <c r="B7" s="7">
        <v>16</v>
      </c>
      <c r="C7" s="7">
        <v>4</v>
      </c>
      <c r="D7" s="8">
        <f>B7-$B$11</f>
        <v>-20.285714285714285</v>
      </c>
      <c r="E7" s="8">
        <f t="shared" si="0"/>
        <v>0</v>
      </c>
      <c r="F7" s="8">
        <f t="shared" si="2"/>
        <v>0</v>
      </c>
      <c r="G7" s="8">
        <f t="shared" si="1"/>
        <v>0</v>
      </c>
    </row>
    <row r="8" spans="2:7" x14ac:dyDescent="0.2">
      <c r="B8" s="7">
        <v>32</v>
      </c>
      <c r="C8" s="7">
        <v>5</v>
      </c>
      <c r="D8" s="8">
        <f>B8-$B$11</f>
        <v>-4.2857142857142847</v>
      </c>
      <c r="E8" s="8">
        <f t="shared" si="0"/>
        <v>1</v>
      </c>
      <c r="F8" s="8">
        <f t="shared" si="2"/>
        <v>-4.2857142857142847</v>
      </c>
      <c r="G8" s="8">
        <f t="shared" si="1"/>
        <v>1</v>
      </c>
    </row>
    <row r="9" spans="2:7" x14ac:dyDescent="0.2">
      <c r="B9" s="7">
        <v>64</v>
      </c>
      <c r="C9" s="7">
        <v>6</v>
      </c>
      <c r="D9" s="8">
        <f>B9-$B$11</f>
        <v>27.714285714285715</v>
      </c>
      <c r="E9" s="8">
        <f t="shared" si="0"/>
        <v>2</v>
      </c>
      <c r="F9" s="8">
        <f t="shared" si="2"/>
        <v>55.428571428571431</v>
      </c>
      <c r="G9" s="8">
        <f t="shared" si="1"/>
        <v>4</v>
      </c>
    </row>
    <row r="10" spans="2:7" ht="17" thickBot="1" x14ac:dyDescent="0.25">
      <c r="B10" s="15">
        <v>128</v>
      </c>
      <c r="C10" s="15">
        <v>7</v>
      </c>
      <c r="D10" s="16">
        <f>B10-$B$11</f>
        <v>91.714285714285722</v>
      </c>
      <c r="E10" s="16">
        <f t="shared" si="0"/>
        <v>3</v>
      </c>
      <c r="F10" s="16">
        <f t="shared" si="2"/>
        <v>275.14285714285717</v>
      </c>
      <c r="G10" s="16">
        <f t="shared" si="1"/>
        <v>9</v>
      </c>
    </row>
    <row r="11" spans="2:7" x14ac:dyDescent="0.2">
      <c r="B11" s="9">
        <f>AVERAGE(B4:B10)</f>
        <v>36.285714285714285</v>
      </c>
      <c r="C11" s="9">
        <f>AVERAGE(C4:C10)</f>
        <v>4</v>
      </c>
      <c r="D11" s="9">
        <f>SUM(D4:D10)</f>
        <v>0</v>
      </c>
      <c r="E11" s="9">
        <f>SUM(E4:E10)</f>
        <v>0</v>
      </c>
      <c r="F11" s="9">
        <f>SUM(F4:F10)</f>
        <v>522</v>
      </c>
      <c r="G11" s="9">
        <f>SUM(G4:G10)</f>
        <v>28</v>
      </c>
    </row>
    <row r="14" spans="2:7" x14ac:dyDescent="0.2">
      <c r="B14" s="6" t="s">
        <v>6</v>
      </c>
      <c r="C14" s="10">
        <f>_xlfn.STDEV.S(B4:B10)</f>
        <v>45.875608209280763</v>
      </c>
    </row>
    <row r="15" spans="2:7" x14ac:dyDescent="0.2">
      <c r="B15" s="6" t="s">
        <v>5</v>
      </c>
      <c r="C15" s="10">
        <f>_xlfn.STDEV.S(C4:C10)</f>
        <v>2.1602468994692869</v>
      </c>
    </row>
    <row r="16" spans="2:7" x14ac:dyDescent="0.2">
      <c r="B16" s="6" t="s">
        <v>7</v>
      </c>
      <c r="C16" s="10">
        <f>_xlfn.COVARIANCE.S(B4:B10,C4:C10)</f>
        <v>87</v>
      </c>
    </row>
    <row r="17" spans="2:5" x14ac:dyDescent="0.2">
      <c r="B17" s="6" t="s">
        <v>9</v>
      </c>
      <c r="C17" s="10">
        <f>C16/(C14*C15)</f>
        <v>0.87787772003769549</v>
      </c>
    </row>
    <row r="18" spans="2:5" x14ac:dyDescent="0.2">
      <c r="C18" s="10"/>
    </row>
    <row r="19" spans="2:5" x14ac:dyDescent="0.2">
      <c r="B19" s="11" t="s">
        <v>8</v>
      </c>
      <c r="C19" s="12">
        <f>F11/G11</f>
        <v>18.642857142857142</v>
      </c>
    </row>
    <row r="20" spans="2:5" x14ac:dyDescent="0.2">
      <c r="B20" s="11" t="s">
        <v>11</v>
      </c>
      <c r="C20" s="12">
        <f>B11-C19*C11</f>
        <v>-38.285714285714285</v>
      </c>
    </row>
    <row r="21" spans="2:5" x14ac:dyDescent="0.2">
      <c r="B21" s="11" t="s">
        <v>10</v>
      </c>
      <c r="C21" s="12">
        <f>C17^2</f>
        <v>0.77066929133858242</v>
      </c>
      <c r="E21" s="10"/>
    </row>
    <row r="22" spans="2:5" x14ac:dyDescent="0.2">
      <c r="E2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A59F-7BF1-6542-B039-C0244A5A7073}">
  <dimension ref="A2:G30"/>
  <sheetViews>
    <sheetView tabSelected="1" zoomScale="150" zoomScaleNormal="150" workbookViewId="0"/>
  </sheetViews>
  <sheetFormatPr baseColWidth="10" defaultRowHeight="16" x14ac:dyDescent="0.2"/>
  <cols>
    <col min="1" max="1" width="10.83203125" style="1"/>
    <col min="2" max="3" width="15.1640625" style="1" customWidth="1"/>
    <col min="4" max="4" width="15" style="1" bestFit="1" customWidth="1"/>
    <col min="5" max="5" width="12.33203125" style="1" bestFit="1" customWidth="1"/>
    <col min="6" max="6" width="13.6640625" style="1" bestFit="1" customWidth="1"/>
    <col min="7" max="7" width="17.5" style="1" bestFit="1" customWidth="1"/>
    <col min="8" max="16384" width="10.83203125" style="1"/>
  </cols>
  <sheetData>
    <row r="2" spans="1:7" x14ac:dyDescent="0.2">
      <c r="A2" s="6"/>
      <c r="B2" s="6"/>
      <c r="C2" s="6"/>
      <c r="D2" s="6"/>
      <c r="E2" s="6"/>
      <c r="F2" s="6"/>
      <c r="G2" s="6"/>
    </row>
    <row r="3" spans="1:7" ht="17" thickBot="1" x14ac:dyDescent="0.25">
      <c r="A3" s="6"/>
      <c r="B3" s="14" t="s">
        <v>3</v>
      </c>
      <c r="C3" s="14" t="s">
        <v>4</v>
      </c>
      <c r="D3" s="14" t="s">
        <v>1</v>
      </c>
      <c r="E3" s="14" t="s">
        <v>0</v>
      </c>
      <c r="F3" s="14"/>
      <c r="G3" s="14" t="s">
        <v>2</v>
      </c>
    </row>
    <row r="4" spans="1:7" x14ac:dyDescent="0.2">
      <c r="A4" s="6"/>
      <c r="B4" s="7">
        <v>2</v>
      </c>
      <c r="C4" s="7">
        <v>15</v>
      </c>
      <c r="D4" s="8">
        <f>B4-$B$19</f>
        <v>-4.4666666666666668</v>
      </c>
      <c r="E4" s="8">
        <f t="shared" ref="E4:E18" si="0">C4-$C$19</f>
        <v>7.5333333333333332</v>
      </c>
      <c r="F4" s="8">
        <f>D4*E4</f>
        <v>-33.648888888888891</v>
      </c>
      <c r="G4" s="8">
        <f t="shared" ref="G4:G18" si="1">E4^2</f>
        <v>56.751111111111108</v>
      </c>
    </row>
    <row r="5" spans="1:7" x14ac:dyDescent="0.2">
      <c r="A5" s="6"/>
      <c r="B5" s="7">
        <v>6</v>
      </c>
      <c r="C5" s="7">
        <v>4</v>
      </c>
      <c r="D5" s="8">
        <f>B5-$B$19</f>
        <v>-0.46666666666666679</v>
      </c>
      <c r="E5" s="8">
        <f t="shared" si="0"/>
        <v>-3.4666666666666668</v>
      </c>
      <c r="F5" s="8">
        <f t="shared" ref="F5:F18" si="2">D5*E5</f>
        <v>1.6177777777777782</v>
      </c>
      <c r="G5" s="8">
        <f t="shared" si="1"/>
        <v>12.017777777777779</v>
      </c>
    </row>
    <row r="6" spans="1:7" x14ac:dyDescent="0.2">
      <c r="A6" s="6"/>
      <c r="B6" s="7">
        <v>3</v>
      </c>
      <c r="C6" s="7">
        <v>12</v>
      </c>
      <c r="D6" s="8">
        <f>B6-$B$19</f>
        <v>-3.4666666666666668</v>
      </c>
      <c r="E6" s="8">
        <f t="shared" si="0"/>
        <v>4.5333333333333332</v>
      </c>
      <c r="F6" s="8">
        <f t="shared" si="2"/>
        <v>-15.715555555555556</v>
      </c>
      <c r="G6" s="8">
        <f t="shared" si="1"/>
        <v>20.551111111111108</v>
      </c>
    </row>
    <row r="7" spans="1:7" x14ac:dyDescent="0.2">
      <c r="A7" s="6"/>
      <c r="B7" s="7">
        <v>2</v>
      </c>
      <c r="C7" s="7">
        <v>17</v>
      </c>
      <c r="D7" s="8">
        <f>B7-$B$19</f>
        <v>-4.4666666666666668</v>
      </c>
      <c r="E7" s="8">
        <f t="shared" si="0"/>
        <v>9.5333333333333332</v>
      </c>
      <c r="F7" s="8">
        <f t="shared" si="2"/>
        <v>-42.582222222222221</v>
      </c>
      <c r="G7" s="8">
        <f t="shared" si="1"/>
        <v>90.884444444444441</v>
      </c>
    </row>
    <row r="8" spans="1:7" x14ac:dyDescent="0.2">
      <c r="A8" s="6"/>
      <c r="B8" s="7">
        <v>4</v>
      </c>
      <c r="C8" s="7">
        <v>13</v>
      </c>
      <c r="D8" s="8">
        <f>B8-$B$19</f>
        <v>-2.4666666666666668</v>
      </c>
      <c r="E8" s="8">
        <f t="shared" si="0"/>
        <v>5.5333333333333332</v>
      </c>
      <c r="F8" s="8">
        <f t="shared" si="2"/>
        <v>-13.648888888888889</v>
      </c>
      <c r="G8" s="8">
        <f t="shared" si="1"/>
        <v>30.617777777777775</v>
      </c>
    </row>
    <row r="9" spans="1:7" x14ac:dyDescent="0.2">
      <c r="A9" s="6"/>
      <c r="B9" s="7">
        <v>7</v>
      </c>
      <c r="C9" s="7">
        <v>3</v>
      </c>
      <c r="D9" s="8">
        <f>B9-$B$19</f>
        <v>0.53333333333333321</v>
      </c>
      <c r="E9" s="8">
        <f t="shared" si="0"/>
        <v>-4.4666666666666668</v>
      </c>
      <c r="F9" s="8">
        <f t="shared" si="2"/>
        <v>-2.3822222222222216</v>
      </c>
      <c r="G9" s="8">
        <f t="shared" si="1"/>
        <v>19.951111111111111</v>
      </c>
    </row>
    <row r="10" spans="1:7" x14ac:dyDescent="0.2">
      <c r="A10" s="6"/>
      <c r="B10" s="7">
        <v>9</v>
      </c>
      <c r="C10" s="7">
        <v>5</v>
      </c>
      <c r="D10" s="8">
        <f t="shared" ref="D10:D18" si="3">B10-$B$19</f>
        <v>2.5333333333333332</v>
      </c>
      <c r="E10" s="8">
        <f t="shared" si="0"/>
        <v>-2.4666666666666668</v>
      </c>
      <c r="F10" s="8">
        <f t="shared" si="2"/>
        <v>-6.2488888888888887</v>
      </c>
      <c r="G10" s="8">
        <f t="shared" si="1"/>
        <v>6.0844444444444452</v>
      </c>
    </row>
    <row r="11" spans="1:7" x14ac:dyDescent="0.2">
      <c r="A11" s="6"/>
      <c r="B11" s="7">
        <v>14</v>
      </c>
      <c r="C11" s="7">
        <v>1</v>
      </c>
      <c r="D11" s="8">
        <f t="shared" si="3"/>
        <v>7.5333333333333332</v>
      </c>
      <c r="E11" s="8">
        <f t="shared" si="0"/>
        <v>-6.4666666666666668</v>
      </c>
      <c r="F11" s="8">
        <f t="shared" si="2"/>
        <v>-48.715555555555554</v>
      </c>
      <c r="G11" s="8">
        <f t="shared" si="1"/>
        <v>41.817777777777778</v>
      </c>
    </row>
    <row r="12" spans="1:7" x14ac:dyDescent="0.2">
      <c r="A12" s="6"/>
      <c r="B12" s="7">
        <v>3</v>
      </c>
      <c r="C12" s="7">
        <v>14</v>
      </c>
      <c r="D12" s="8">
        <f t="shared" si="3"/>
        <v>-3.4666666666666668</v>
      </c>
      <c r="E12" s="8">
        <f t="shared" si="0"/>
        <v>6.5333333333333332</v>
      </c>
      <c r="F12" s="8">
        <f t="shared" si="2"/>
        <v>-22.648888888888891</v>
      </c>
      <c r="G12" s="8">
        <f t="shared" si="1"/>
        <v>42.684444444444445</v>
      </c>
    </row>
    <row r="13" spans="1:7" x14ac:dyDescent="0.2">
      <c r="A13" s="6"/>
      <c r="B13" s="7">
        <v>7</v>
      </c>
      <c r="C13" s="7">
        <v>1</v>
      </c>
      <c r="D13" s="8">
        <f t="shared" si="3"/>
        <v>0.53333333333333321</v>
      </c>
      <c r="E13" s="8">
        <f t="shared" si="0"/>
        <v>-6.4666666666666668</v>
      </c>
      <c r="F13" s="8">
        <f t="shared" si="2"/>
        <v>-3.448888888888888</v>
      </c>
      <c r="G13" s="8">
        <f t="shared" si="1"/>
        <v>41.817777777777778</v>
      </c>
    </row>
    <row r="14" spans="1:7" x14ac:dyDescent="0.2">
      <c r="A14" s="6"/>
      <c r="B14" s="7">
        <v>4</v>
      </c>
      <c r="C14" s="7">
        <v>6</v>
      </c>
      <c r="D14" s="8">
        <f t="shared" si="3"/>
        <v>-2.4666666666666668</v>
      </c>
      <c r="E14" s="8">
        <f t="shared" si="0"/>
        <v>-1.4666666666666668</v>
      </c>
      <c r="F14" s="8">
        <f t="shared" si="2"/>
        <v>3.6177777777777784</v>
      </c>
      <c r="G14" s="8">
        <f t="shared" si="1"/>
        <v>2.1511111111111116</v>
      </c>
    </row>
    <row r="15" spans="1:7" x14ac:dyDescent="0.2">
      <c r="A15" s="6"/>
      <c r="B15" s="7">
        <v>6</v>
      </c>
      <c r="C15" s="7">
        <v>9</v>
      </c>
      <c r="D15" s="8">
        <f t="shared" si="3"/>
        <v>-0.46666666666666679</v>
      </c>
      <c r="E15" s="8">
        <f t="shared" si="0"/>
        <v>1.5333333333333332</v>
      </c>
      <c r="F15" s="8">
        <f t="shared" si="2"/>
        <v>-0.71555555555555572</v>
      </c>
      <c r="G15" s="8">
        <f t="shared" si="1"/>
        <v>2.3511111111111109</v>
      </c>
    </row>
    <row r="16" spans="1:7" x14ac:dyDescent="0.2">
      <c r="A16" s="6"/>
      <c r="B16" s="7">
        <v>7</v>
      </c>
      <c r="C16" s="7">
        <v>8</v>
      </c>
      <c r="D16" s="8">
        <f t="shared" si="3"/>
        <v>0.53333333333333321</v>
      </c>
      <c r="E16" s="8">
        <f t="shared" si="0"/>
        <v>0.53333333333333321</v>
      </c>
      <c r="F16" s="8">
        <f t="shared" si="2"/>
        <v>0.28444444444444433</v>
      </c>
      <c r="G16" s="8">
        <f t="shared" si="1"/>
        <v>0.28444444444444433</v>
      </c>
    </row>
    <row r="17" spans="1:7" x14ac:dyDescent="0.2">
      <c r="A17" s="6"/>
      <c r="B17" s="7">
        <v>12</v>
      </c>
      <c r="C17" s="7">
        <v>2</v>
      </c>
      <c r="D17" s="8">
        <f t="shared" si="3"/>
        <v>5.5333333333333332</v>
      </c>
      <c r="E17" s="8">
        <f t="shared" si="0"/>
        <v>-5.4666666666666668</v>
      </c>
      <c r="F17" s="8">
        <f t="shared" si="2"/>
        <v>-30.248888888888889</v>
      </c>
      <c r="G17" s="8">
        <f t="shared" si="1"/>
        <v>29.884444444444444</v>
      </c>
    </row>
    <row r="18" spans="1:7" ht="17" thickBot="1" x14ac:dyDescent="0.25">
      <c r="A18" s="6"/>
      <c r="B18" s="15">
        <v>11</v>
      </c>
      <c r="C18" s="15">
        <v>2</v>
      </c>
      <c r="D18" s="16">
        <f t="shared" si="3"/>
        <v>4.5333333333333332</v>
      </c>
      <c r="E18" s="16">
        <f t="shared" si="0"/>
        <v>-5.4666666666666668</v>
      </c>
      <c r="F18" s="16">
        <f t="shared" si="2"/>
        <v>-24.782222222222224</v>
      </c>
      <c r="G18" s="16">
        <f t="shared" si="1"/>
        <v>29.884444444444444</v>
      </c>
    </row>
    <row r="19" spans="1:7" x14ac:dyDescent="0.2">
      <c r="A19" s="6"/>
      <c r="B19" s="9">
        <f>AVERAGE(B4:B18)</f>
        <v>6.4666666666666668</v>
      </c>
      <c r="C19" s="9">
        <f>AVERAGE(C4:C18)</f>
        <v>7.4666666666666668</v>
      </c>
      <c r="D19" s="9">
        <f>SUM(D4:D18)</f>
        <v>0</v>
      </c>
      <c r="E19" s="9">
        <f>SUM(E4:E18)</f>
        <v>-7.1054273576010019E-15</v>
      </c>
      <c r="F19" s="9">
        <f>SUM(F4:F18)</f>
        <v>-239.26666666666674</v>
      </c>
      <c r="G19" s="9">
        <f>SUM(G4:G18)</f>
        <v>427.73333333333335</v>
      </c>
    </row>
    <row r="22" spans="1:7" x14ac:dyDescent="0.2">
      <c r="B22" s="1" t="s">
        <v>6</v>
      </c>
      <c r="C22" s="3">
        <f>_xlfn.STDEV.S(B4:B18)</f>
        <v>3.7007077830109871</v>
      </c>
    </row>
    <row r="23" spans="1:7" x14ac:dyDescent="0.2">
      <c r="B23" s="1" t="s">
        <v>5</v>
      </c>
      <c r="C23" s="3">
        <f>_xlfn.STDEV.S(C4:C18)</f>
        <v>5.5274208228052402</v>
      </c>
    </row>
    <row r="24" spans="1:7" x14ac:dyDescent="0.2">
      <c r="B24" s="1" t="s">
        <v>7</v>
      </c>
      <c r="C24" s="3">
        <f>_xlfn.COVARIANCE.S(B4:B18,C4:C18)</f>
        <v>-17.090476190476195</v>
      </c>
    </row>
    <row r="25" spans="1:7" x14ac:dyDescent="0.2">
      <c r="B25" s="1" t="s">
        <v>9</v>
      </c>
      <c r="C25" s="3">
        <f>C24/(C22*C23)</f>
        <v>-0.83550074184132428</v>
      </c>
    </row>
    <row r="26" spans="1:7" x14ac:dyDescent="0.2">
      <c r="C26" s="3"/>
    </row>
    <row r="27" spans="1:7" x14ac:dyDescent="0.2">
      <c r="B27" s="4" t="s">
        <v>8</v>
      </c>
      <c r="C27" s="5">
        <f>F19/G19</f>
        <v>-0.55938279301745653</v>
      </c>
    </row>
    <row r="28" spans="1:7" x14ac:dyDescent="0.2">
      <c r="B28" s="4" t="s">
        <v>11</v>
      </c>
      <c r="C28" s="5">
        <f>B19-C27*C19</f>
        <v>10.643391521197008</v>
      </c>
    </row>
    <row r="29" spans="1:7" x14ac:dyDescent="0.2">
      <c r="B29" s="4" t="s">
        <v>10</v>
      </c>
      <c r="C29" s="5">
        <f>C25^2</f>
        <v>0.69806148961740322</v>
      </c>
      <c r="E29" s="3"/>
    </row>
    <row r="30" spans="1:7" x14ac:dyDescent="0.2">
      <c r="E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Ex2</vt:lpstr>
      <vt:lpstr>Ex3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Sumair Hussain</dc:creator>
  <cp:lastModifiedBy>Sumair Hussain</cp:lastModifiedBy>
  <dcterms:created xsi:type="dcterms:W3CDTF">2025-11-30T17:38:49Z</dcterms:created>
  <dcterms:modified xsi:type="dcterms:W3CDTF">2025-12-03T16:42:01Z</dcterms:modified>
</cp:coreProperties>
</file>